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ondu\Desktop\"/>
    </mc:Choice>
  </mc:AlternateContent>
  <xr:revisionPtr revIDLastSave="0" documentId="13_ncr:1_{B5A767E3-B521-43FF-8818-83CBDBB1EA22}" xr6:coauthVersionLast="47" xr6:coauthVersionMax="47" xr10:uidLastSave="{00000000-0000-0000-0000-000000000000}"/>
  <bookViews>
    <workbookView xWindow="-120" yWindow="-120" windowWidth="29040" windowHeight="15840" xr2:uid="{D4298073-8C0A-4168-B0BE-33F570A2FFA3}"/>
  </bookViews>
  <sheets>
    <sheet name="Dashboard" sheetId="3" r:id="rId1"/>
    <sheet name="Analisis" sheetId="2" state="hidden" r:id="rId2"/>
    <sheet name="Datos" sheetId="1" r:id="rId3"/>
  </sheets>
  <definedNames>
    <definedName name="_xlnm._FilterDatabase" localSheetId="2" hidden="1">Datos!$A$2:$V$344</definedName>
    <definedName name="SegmentaciónDeDatos_AÑO">#N/A</definedName>
    <definedName name="SegmentaciónDeDatos_concepto">#N/A</definedName>
    <definedName name="SegmentaciónDeDatos_MESES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C6" i="2"/>
  <c r="G3" i="2"/>
  <c r="H3" i="2" s="1"/>
  <c r="I3" i="2" s="1"/>
  <c r="B3" i="2"/>
  <c r="C3" i="2" s="1"/>
  <c r="C4" i="2" s="1"/>
  <c r="C5" i="2" s="1"/>
  <c r="E47" i="2"/>
  <c r="A22" i="2"/>
  <c r="B22" i="2"/>
  <c r="C22" i="2"/>
  <c r="A23" i="2" l="1"/>
  <c r="B23" i="2"/>
  <c r="C23" i="2"/>
</calcChain>
</file>

<file path=xl/sharedStrings.xml><?xml version="1.0" encoding="utf-8"?>
<sst xmlns="http://schemas.openxmlformats.org/spreadsheetml/2006/main" count="761" uniqueCount="52">
  <si>
    <t>mes</t>
  </si>
  <si>
    <t>concepto</t>
  </si>
  <si>
    <t>oferta_total</t>
  </si>
  <si>
    <t>inventario_inicial</t>
  </si>
  <si>
    <t>produccion</t>
  </si>
  <si>
    <t>importaciones_totales</t>
  </si>
  <si>
    <t>demanda_total</t>
  </si>
  <si>
    <t>exportaciones_totales</t>
  </si>
  <si>
    <t>consumo_nacional_aparente</t>
  </si>
  <si>
    <t>inventario_final</t>
  </si>
  <si>
    <t>importaciones_fuera_arancel</t>
  </si>
  <si>
    <t>importaciones_amparo_arancel</t>
  </si>
  <si>
    <t>ingenios</t>
  </si>
  <si>
    <t>estados_unidos</t>
  </si>
  <si>
    <t>resto_mundo</t>
  </si>
  <si>
    <t>ventas_immex</t>
  </si>
  <si>
    <t>otras_empresas</t>
  </si>
  <si>
    <t>estados_unidos_otras_empresas</t>
  </si>
  <si>
    <t>resto_mundo_otras_empresas</t>
  </si>
  <si>
    <t>ventas_domesticas_ingenios</t>
  </si>
  <si>
    <t>Etiquetas de fila</t>
  </si>
  <si>
    <t>Total general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</si>
  <si>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</si>
  <si>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</si>
  <si>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</si>
  <si>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</si>
  <si>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</si>
  <si>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</si>
  <si>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</si>
  <si>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</si>
  <si>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</si>
  <si>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</si>
  <si>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</si>
  <si>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</si>
  <si>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MESES</t>
  </si>
  <si>
    <t>Suma de consumo_nacional_aparente</t>
  </si>
  <si>
    <t>Suma de produccion</t>
  </si>
  <si>
    <t>Suma de exportaciones_totales</t>
  </si>
  <si>
    <t>auxiliar 01</t>
  </si>
  <si>
    <t>AÑO</t>
  </si>
  <si>
    <t xml:space="preserve">Produccion </t>
  </si>
  <si>
    <t>auxiliar 02</t>
  </si>
  <si>
    <t>auxiliar 03</t>
  </si>
  <si>
    <t>Consumo nacional</t>
  </si>
  <si>
    <t xml:space="preserve">Exportaciones </t>
  </si>
  <si>
    <t xml:space="preserve">Consumo nacional  </t>
  </si>
  <si>
    <t>AZUCAR</t>
  </si>
  <si>
    <t>JMRF</t>
  </si>
  <si>
    <t xml:space="preserve">Exportaciones   </t>
  </si>
  <si>
    <t>Suma de demanda_total</t>
  </si>
  <si>
    <t>Valores</t>
  </si>
  <si>
    <t xml:space="preserve">Importaciones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</si>
</sst>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0.00,,&quot; M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9" fontId="0" fillId="0" borderId="0" xfId="1" applyNumberFormat="1" applyFont="1"/>
    <xf numFmtId="165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numFmt numFmtId="14" formatCode="0.00%"/>
    </dxf>
    <dxf>
      <numFmt numFmtId="14" formatCode="0.00%"/>
    </dxf>
    <dxf>
      <font>
        <sz val="12"/>
        <color theme="1"/>
        <name val="Aptos"/>
        <family val="2"/>
        <scheme val="none"/>
      </font>
      <border>
        <bottom style="thin">
          <color theme="0" tint="-0.34998626667073579"/>
        </bottom>
        <vertical/>
        <horizontal/>
      </border>
    </dxf>
    <dxf>
      <font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2" defaultPivotStyle="PivotStyleLight16">
    <tableStyle name="SlicerStyleOther1 2" pivot="0" table="0" count="10" xr9:uid="{E3D28D1E-C56C-47AB-9EA3-6EB23EC131E2}">
      <tableStyleElement type="wholeTable" dxfId="25"/>
      <tableStyleElement type="headerRow" dxfId="24"/>
    </tableStyle>
  </tableStyles>
  <colors>
    <mruColors>
      <color rgb="FF1F3864"/>
      <color rgb="FFE67E22"/>
      <color rgb="FF1D8348"/>
      <color rgb="FFD09E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4"/>
            <color theme="0"/>
          </font>
          <fill>
            <patternFill patternType="solid">
              <fgColor theme="0" tint="-0.249977111117893"/>
              <bgColor theme="1" tint="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 tint="-0.2499465926084170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[balances_mensuales_2026_febrero.xlsx]Analisis!TablaDinámica8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Azucar</a:t>
            </a:r>
            <a:r>
              <a:rPr lang="es-MX" baseline="0"/>
              <a:t> vs JMRF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shade val="1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67E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>
                <a:shade val="15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/>
          </a:solidFill>
          <a:ln>
            <a:solidFill>
              <a:schemeClr val="accent1">
                <a:shade val="1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67E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67E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Analisis!$G$8:$G$9</c:f>
              <c:strCache>
                <c:ptCount val="1"/>
                <c:pt idx="0">
                  <c:v>AZUCAR</c:v>
                </c:pt>
              </c:strCache>
            </c:strRef>
          </c:tx>
          <c:spPr>
            <a:solidFill>
              <a:schemeClr val="accent1"/>
            </a:solidFill>
            <a:ln>
              <a:noFill/>
              <a:round/>
            </a:ln>
            <a:effectLst/>
          </c:spPr>
          <c:invertIfNegative val="0"/>
          <c:cat>
            <c:strRef>
              <c:f>Analisis!$F$10:$F$24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Analisis!$G$10:$G$24</c:f>
              <c:numCache>
                <c:formatCode>_-* #,##0_-;\-* #,##0_-;_-* "-"??_-;_-@_-</c:formatCode>
                <c:ptCount val="15"/>
                <c:pt idx="0">
                  <c:v>929596</c:v>
                </c:pt>
                <c:pt idx="1">
                  <c:v>4127447</c:v>
                </c:pt>
                <c:pt idx="2">
                  <c:v>4222086</c:v>
                </c:pt>
                <c:pt idx="3">
                  <c:v>4294677</c:v>
                </c:pt>
                <c:pt idx="4">
                  <c:v>4417335</c:v>
                </c:pt>
                <c:pt idx="5">
                  <c:v>4523405.9737999998</c:v>
                </c:pt>
                <c:pt idx="6">
                  <c:v>4434274.7011000002</c:v>
                </c:pt>
                <c:pt idx="7">
                  <c:v>4268832.4348999998</c:v>
                </c:pt>
                <c:pt idx="8">
                  <c:v>4077712.4590000003</c:v>
                </c:pt>
                <c:pt idx="9">
                  <c:v>4042146.4964999999</c:v>
                </c:pt>
                <c:pt idx="10">
                  <c:v>4022361.9716999996</c:v>
                </c:pt>
                <c:pt idx="11">
                  <c:v>4010323.0740000005</c:v>
                </c:pt>
                <c:pt idx="12">
                  <c:v>4215204.0566000007</c:v>
                </c:pt>
                <c:pt idx="13">
                  <c:v>4161019.4262000006</c:v>
                </c:pt>
                <c:pt idx="14">
                  <c:v>3865916.6798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3-45F1-8CDE-0C5108D4A0A6}"/>
            </c:ext>
          </c:extLst>
        </c:ser>
        <c:ser>
          <c:idx val="1"/>
          <c:order val="1"/>
          <c:tx>
            <c:strRef>
              <c:f>Analisis!$H$8:$H$9</c:f>
              <c:strCache>
                <c:ptCount val="1"/>
                <c:pt idx="0">
                  <c:v>JMRF</c:v>
                </c:pt>
              </c:strCache>
            </c:strRef>
          </c:tx>
          <c:spPr>
            <a:solidFill>
              <a:srgbClr val="E67E22"/>
            </a:solidFill>
            <a:ln>
              <a:noFill/>
            </a:ln>
            <a:effectLst/>
          </c:spPr>
          <c:invertIfNegative val="0"/>
          <c:cat>
            <c:strRef>
              <c:f>Analisis!$F$10:$F$24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Analisis!$H$10:$H$24</c:f>
              <c:numCache>
                <c:formatCode>_-* #,##0_-;\-* #,##0_-;_-* "-"??_-;_-@_-</c:formatCode>
                <c:ptCount val="15"/>
                <c:pt idx="0">
                  <c:v>407949</c:v>
                </c:pt>
                <c:pt idx="1">
                  <c:v>1737838</c:v>
                </c:pt>
                <c:pt idx="2">
                  <c:v>1502586</c:v>
                </c:pt>
                <c:pt idx="3">
                  <c:v>1371201</c:v>
                </c:pt>
                <c:pt idx="4">
                  <c:v>1447130</c:v>
                </c:pt>
                <c:pt idx="5">
                  <c:v>1469601.4983999999</c:v>
                </c:pt>
                <c:pt idx="6">
                  <c:v>1568610.885</c:v>
                </c:pt>
                <c:pt idx="7">
                  <c:v>1553594.6120999998</c:v>
                </c:pt>
                <c:pt idx="8">
                  <c:v>1519487.4017</c:v>
                </c:pt>
                <c:pt idx="9">
                  <c:v>1375694.4459000002</c:v>
                </c:pt>
                <c:pt idx="10">
                  <c:v>1307587.9110399997</c:v>
                </c:pt>
                <c:pt idx="11">
                  <c:v>1314552.3675500001</c:v>
                </c:pt>
                <c:pt idx="12">
                  <c:v>1384350.5700300001</c:v>
                </c:pt>
                <c:pt idx="13">
                  <c:v>1660124.5186000001</c:v>
                </c:pt>
                <c:pt idx="14">
                  <c:v>1622518.6912000002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E3-45F1-8CDE-0C5108D4A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034607"/>
        <c:axId val="103047087"/>
      </c:barChart>
      <c:catAx>
        <c:axId val="10303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047087"/>
        <c:crosses val="autoZero"/>
        <c:auto val="1"/>
        <c:lblAlgn val="ctr"/>
        <c:lblOffset val="100"/>
        <c:noMultiLvlLbl val="0"/>
      </c:catAx>
      <c:valAx>
        <c:axId val="103047087"/>
        <c:scaling>
          <c:orientation val="minMax"/>
        </c:scaling>
        <c:delete val="0"/>
        <c:axPos val="l"/>
        <c:numFmt formatCode="0.00,,&quot; 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03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[balances_mensuales_2026_febrero.xlsx]Analisis!TablaDinámica9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/>
              <a:t>Detalle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67E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67E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67E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D83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Analisis!$B$26</c:f>
              <c:strCache>
                <c:ptCount val="1"/>
                <c:pt idx="0">
                  <c:v>Produccion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Analisis!$A$27:$A$38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Analisis!$B$27:$B$38</c:f>
              <c:numCache>
                <c:formatCode>_-* #,##0_-;\-* #,##0_-;_-* "-"??_-;_-@_-</c:formatCode>
                <c:ptCount val="12"/>
                <c:pt idx="0">
                  <c:v>14533144.155830001</c:v>
                </c:pt>
                <c:pt idx="1">
                  <c:v>14849529.728939999</c:v>
                </c:pt>
                <c:pt idx="2">
                  <c:v>16668596.441259999</c:v>
                </c:pt>
                <c:pt idx="3">
                  <c:v>14490282.162199995</c:v>
                </c:pt>
                <c:pt idx="4">
                  <c:v>8797116.4737400003</c:v>
                </c:pt>
                <c:pt idx="5">
                  <c:v>2190613.9792699995</c:v>
                </c:pt>
                <c:pt idx="6">
                  <c:v>688349.93666000024</c:v>
                </c:pt>
                <c:pt idx="7">
                  <c:v>608161.1817800001</c:v>
                </c:pt>
                <c:pt idx="8">
                  <c:v>605314.19654999999</c:v>
                </c:pt>
                <c:pt idx="9">
                  <c:v>659348.42774000019</c:v>
                </c:pt>
                <c:pt idx="10">
                  <c:v>2825628.2866299991</c:v>
                </c:pt>
                <c:pt idx="11">
                  <c:v>11332440.446840001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A-4EDB-867D-C62B0F621FC6}"/>
            </c:ext>
          </c:extLst>
        </c:ser>
        <c:ser>
          <c:idx val="1"/>
          <c:order val="1"/>
          <c:tx>
            <c:strRef>
              <c:f>Analisis!$C$26</c:f>
              <c:strCache>
                <c:ptCount val="1"/>
                <c:pt idx="0">
                  <c:v>Consumo nacional  </c:v>
                </c:pt>
              </c:strCache>
            </c:strRef>
          </c:tx>
          <c:spPr>
            <a:solidFill>
              <a:srgbClr val="E67E22"/>
            </a:solidFill>
            <a:ln>
              <a:noFill/>
            </a:ln>
            <a:effectLst/>
          </c:spPr>
          <c:invertIfNegative val="0"/>
          <c:cat>
            <c:strRef>
              <c:f>Analisis!$A$27:$A$38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Analisis!$C$27:$C$38</c:f>
              <c:numCache>
                <c:formatCode>_-* #,##0_-;\-* #,##0_-;_-* "-"??_-;_-@_-</c:formatCode>
                <c:ptCount val="12"/>
                <c:pt idx="0">
                  <c:v>7318704.0528000025</c:v>
                </c:pt>
                <c:pt idx="1">
                  <c:v>6271455.3549199998</c:v>
                </c:pt>
                <c:pt idx="2">
                  <c:v>7158166.1741999993</c:v>
                </c:pt>
                <c:pt idx="3">
                  <c:v>7398828.2595999995</c:v>
                </c:pt>
                <c:pt idx="4">
                  <c:v>7029282.7589000007</c:v>
                </c:pt>
                <c:pt idx="5">
                  <c:v>6833097.2138999989</c:v>
                </c:pt>
                <c:pt idx="6">
                  <c:v>6358957.3916999996</c:v>
                </c:pt>
                <c:pt idx="7">
                  <c:v>6469723.1721999999</c:v>
                </c:pt>
                <c:pt idx="8">
                  <c:v>5577451.5779000008</c:v>
                </c:pt>
                <c:pt idx="9">
                  <c:v>6803136.7064000005</c:v>
                </c:pt>
                <c:pt idx="10">
                  <c:v>6393056.96447</c:v>
                </c:pt>
                <c:pt idx="11">
                  <c:v>7243305.5481299981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A-4EDB-867D-C62B0F621FC6}"/>
            </c:ext>
          </c:extLst>
        </c:ser>
        <c:ser>
          <c:idx val="2"/>
          <c:order val="2"/>
          <c:tx>
            <c:strRef>
              <c:f>Analisis!$D$26</c:f>
              <c:strCache>
                <c:ptCount val="1"/>
                <c:pt idx="0">
                  <c:v>Exportaciones </c:v>
                </c:pt>
              </c:strCache>
            </c:strRef>
          </c:tx>
          <c:spPr>
            <a:solidFill>
              <a:srgbClr val="1D8348"/>
            </a:solidFill>
            <a:ln>
              <a:noFill/>
            </a:ln>
            <a:effectLst/>
          </c:spPr>
          <c:invertIfNegative val="0"/>
          <c:cat>
            <c:strRef>
              <c:f>Analisis!$A$27:$A$38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Analisis!$D$27:$D$38</c:f>
              <c:numCache>
                <c:formatCode>_-* #,##0_-;\-* #,##0_-;_-* "-"??_-;_-@_-</c:formatCode>
                <c:ptCount val="12"/>
                <c:pt idx="0">
                  <c:v>1701042.2366415004</c:v>
                </c:pt>
                <c:pt idx="1">
                  <c:v>2281366.2248594994</c:v>
                </c:pt>
                <c:pt idx="2">
                  <c:v>2511537.5688807997</c:v>
                </c:pt>
                <c:pt idx="3">
                  <c:v>2742788.6569701005</c:v>
                </c:pt>
                <c:pt idx="4">
                  <c:v>2486710.5762900002</c:v>
                </c:pt>
                <c:pt idx="5">
                  <c:v>1864768.2839305003</c:v>
                </c:pt>
                <c:pt idx="6">
                  <c:v>2004433.3814152998</c:v>
                </c:pt>
                <c:pt idx="7">
                  <c:v>1878838.9923357002</c:v>
                </c:pt>
                <c:pt idx="8">
                  <c:v>1881084.0286544999</c:v>
                </c:pt>
                <c:pt idx="9">
                  <c:v>971961.4703114999</c:v>
                </c:pt>
                <c:pt idx="10">
                  <c:v>1063453.1049244001</c:v>
                </c:pt>
                <c:pt idx="11">
                  <c:v>1217647.639831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FA-4EDB-867D-C62B0F62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622367"/>
        <c:axId val="123623327"/>
      </c:barChart>
      <c:catAx>
        <c:axId val="12362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623327"/>
        <c:crosses val="autoZero"/>
        <c:auto val="1"/>
        <c:lblAlgn val="ctr"/>
        <c:lblOffset val="100"/>
        <c:noMultiLvlLbl val="0"/>
      </c:catAx>
      <c:valAx>
        <c:axId val="123623327"/>
        <c:scaling>
          <c:orientation val="minMax"/>
        </c:scaling>
        <c:delete val="0"/>
        <c:axPos val="l"/>
        <c:numFmt formatCode="0.00,,&quot; 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62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[balances_mensuales_2026_febrero.xlsx]Analisis!TablaDinámica11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Tendencia</a:t>
            </a:r>
            <a:r>
              <a:rPr lang="es-MX" baseline="0"/>
              <a:t>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E67E22"/>
            </a:solidFill>
            <a:round/>
          </a:ln>
          <a:effectLst/>
        </c:spPr>
        <c:marker>
          <c:symbol val="circle"/>
          <c:size val="5"/>
          <c:spPr>
            <a:solidFill>
              <a:srgbClr val="E67E22"/>
            </a:solidFill>
            <a:ln w="9525">
              <a:solidFill>
                <a:srgbClr val="E67E2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1D8348"/>
            </a:solidFill>
            <a:round/>
          </a:ln>
          <a:effectLst/>
        </c:spPr>
        <c:marker>
          <c:symbol val="circle"/>
          <c:size val="5"/>
          <c:spPr>
            <a:solidFill>
              <a:srgbClr val="1D8348"/>
            </a:solidFill>
            <a:ln w="9525">
              <a:solidFill>
                <a:srgbClr val="1D8348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Analisis!$G$28</c:f>
              <c:strCache>
                <c:ptCount val="1"/>
                <c:pt idx="0">
                  <c:v>Produccion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Analisis!$F$29:$F$43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Analisis!$G$29:$G$43</c:f>
              <c:numCache>
                <c:formatCode>_-* #,##0_-;\-* #,##0_-;_-* "-"??_-;_-@_-</c:formatCode>
                <c:ptCount val="15"/>
                <c:pt idx="0">
                  <c:v>868533</c:v>
                </c:pt>
                <c:pt idx="1">
                  <c:v>6002336</c:v>
                </c:pt>
                <c:pt idx="2">
                  <c:v>7074300</c:v>
                </c:pt>
                <c:pt idx="3">
                  <c:v>6737664</c:v>
                </c:pt>
                <c:pt idx="4">
                  <c:v>6374780</c:v>
                </c:pt>
                <c:pt idx="5">
                  <c:v>6596897.7201100001</c:v>
                </c:pt>
                <c:pt idx="6">
                  <c:v>6578383.8800099995</c:v>
                </c:pt>
                <c:pt idx="7">
                  <c:v>6451219.0484800022</c:v>
                </c:pt>
                <c:pt idx="8">
                  <c:v>6711357.0988400001</c:v>
                </c:pt>
                <c:pt idx="9">
                  <c:v>6163600.2623999966</c:v>
                </c:pt>
                <c:pt idx="10">
                  <c:v>6243574.9897599984</c:v>
                </c:pt>
                <c:pt idx="11">
                  <c:v>6535265.4539599977</c:v>
                </c:pt>
                <c:pt idx="12">
                  <c:v>5509464.1529599987</c:v>
                </c:pt>
                <c:pt idx="13">
                  <c:v>5193912.3149599973</c:v>
                </c:pt>
                <c:pt idx="14">
                  <c:v>5207237.4959599981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DB-45F3-B17D-7E4632F5CC29}"/>
            </c:ext>
          </c:extLst>
        </c:ser>
        <c:ser>
          <c:idx val="1"/>
          <c:order val="1"/>
          <c:tx>
            <c:strRef>
              <c:f>Analisis!$H$28</c:f>
              <c:strCache>
                <c:ptCount val="1"/>
                <c:pt idx="0">
                  <c:v>Exportaciones   </c:v>
                </c:pt>
              </c:strCache>
            </c:strRef>
          </c:tx>
          <c:spPr>
            <a:ln w="28575" cap="rnd">
              <a:solidFill>
                <a:srgbClr val="E67E2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7E22"/>
              </a:solidFill>
              <a:ln w="9525">
                <a:solidFill>
                  <a:srgbClr val="E67E22"/>
                </a:solidFill>
              </a:ln>
              <a:effectLst/>
            </c:spPr>
          </c:marker>
          <c:cat>
            <c:strRef>
              <c:f>Analisis!$F$29:$F$43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Analisis!$H$29:$H$43</c:f>
              <c:numCache>
                <c:formatCode>_-* #,##0_-;\-* #,##0_-;_-* "-"??_-;_-@_-</c:formatCode>
                <c:ptCount val="15"/>
                <c:pt idx="0">
                  <c:v>185380</c:v>
                </c:pt>
                <c:pt idx="1">
                  <c:v>1038803</c:v>
                </c:pt>
                <c:pt idx="2">
                  <c:v>2729976</c:v>
                </c:pt>
                <c:pt idx="3">
                  <c:v>1941654</c:v>
                </c:pt>
                <c:pt idx="4">
                  <c:v>1614577</c:v>
                </c:pt>
                <c:pt idx="5">
                  <c:v>1358873.0962679998</c:v>
                </c:pt>
                <c:pt idx="6">
                  <c:v>1464039.9849841001</c:v>
                </c:pt>
                <c:pt idx="7">
                  <c:v>1674175.6171231002</c:v>
                </c:pt>
                <c:pt idx="8">
                  <c:v>2245060.1175012998</c:v>
                </c:pt>
                <c:pt idx="9">
                  <c:v>1526206.7362728005</c:v>
                </c:pt>
                <c:pt idx="10">
                  <c:v>1650961.6170539998</c:v>
                </c:pt>
                <c:pt idx="11">
                  <c:v>1961659.6758474</c:v>
                </c:pt>
                <c:pt idx="12">
                  <c:v>1347632.3481828005</c:v>
                </c:pt>
                <c:pt idx="13">
                  <c:v>762001.9902606</c:v>
                </c:pt>
                <c:pt idx="14">
                  <c:v>1104630.9815506998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DB-45F3-B17D-7E4632F5CC29}"/>
            </c:ext>
          </c:extLst>
        </c:ser>
        <c:ser>
          <c:idx val="2"/>
          <c:order val="2"/>
          <c:tx>
            <c:strRef>
              <c:f>Analisis!$I$28</c:f>
              <c:strCache>
                <c:ptCount val="1"/>
                <c:pt idx="0">
                  <c:v>Consumo nacional</c:v>
                </c:pt>
              </c:strCache>
            </c:strRef>
          </c:tx>
          <c:spPr>
            <a:ln w="28575" cap="rnd">
              <a:solidFill>
                <a:srgbClr val="1D834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D8348"/>
              </a:solidFill>
              <a:ln w="9525">
                <a:solidFill>
                  <a:srgbClr val="1D8348"/>
                </a:solidFill>
              </a:ln>
              <a:effectLst/>
            </c:spPr>
          </c:marker>
          <c:cat>
            <c:strRef>
              <c:f>Analisis!$F$29:$F$43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Analisis!$I$29:$I$43</c:f>
              <c:numCache>
                <c:formatCode>_-* #,##0_-;\-* #,##0_-;_-* "-"??_-;_-@_-</c:formatCode>
                <c:ptCount val="15"/>
                <c:pt idx="0">
                  <c:v>1337545</c:v>
                </c:pt>
                <c:pt idx="1">
                  <c:v>5865285</c:v>
                </c:pt>
                <c:pt idx="2">
                  <c:v>5724672</c:v>
                </c:pt>
                <c:pt idx="3">
                  <c:v>5665878</c:v>
                </c:pt>
                <c:pt idx="4">
                  <c:v>5864465</c:v>
                </c:pt>
                <c:pt idx="5">
                  <c:v>5993007.4721999997</c:v>
                </c:pt>
                <c:pt idx="6">
                  <c:v>6002885.5861000009</c:v>
                </c:pt>
                <c:pt idx="7">
                  <c:v>5822427.0469999984</c:v>
                </c:pt>
                <c:pt idx="8">
                  <c:v>5597199.8606999991</c:v>
                </c:pt>
                <c:pt idx="9">
                  <c:v>5417840.9423999991</c:v>
                </c:pt>
                <c:pt idx="10">
                  <c:v>5329949.8827400003</c:v>
                </c:pt>
                <c:pt idx="11">
                  <c:v>5324875.4415499996</c:v>
                </c:pt>
                <c:pt idx="12">
                  <c:v>5599554.6266300017</c:v>
                </c:pt>
                <c:pt idx="13">
                  <c:v>5821143.9447999997</c:v>
                </c:pt>
                <c:pt idx="14">
                  <c:v>5488435.3710000003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6DB-45F3-B17D-7E4632F5C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09823"/>
        <c:axId val="81108863"/>
      </c:lineChart>
      <c:catAx>
        <c:axId val="8110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108863"/>
        <c:crosses val="autoZero"/>
        <c:auto val="1"/>
        <c:lblAlgn val="ctr"/>
        <c:lblOffset val="100"/>
        <c:noMultiLvlLbl val="0"/>
      </c:catAx>
      <c:valAx>
        <c:axId val="8110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&quot; 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10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[balances_mensuales_2026_febrero.xlsx]Analisis!TablaDinámica3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aseline="0"/>
              <a:t>      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95000"/>
              <a:lumOff val="5000"/>
            </a:schemeClr>
          </a:solidFill>
          <a:ln w="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1">
              <a:lumMod val="65000"/>
              <a:lumOff val="35000"/>
            </a:schemeClr>
          </a:solidFill>
          <a:ln w="0">
            <a:solidFill>
              <a:schemeClr val="lt1"/>
            </a:solidFill>
          </a:ln>
          <a:effectLst>
            <a:outerShdw sx="1000" sy="1000" algn="ctr" rotWithShape="0">
              <a:srgbClr val="000000"/>
            </a:outerShdw>
          </a:effectLst>
          <a:scene3d>
            <a:camera prst="orthographicFront"/>
            <a:lightRig rig="threePt" dir="t"/>
          </a:scene3d>
          <a:sp3d>
            <a:bevelT w="0" h="0"/>
          </a:sp3d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</a:schemeClr>
          </a:solidFill>
          <a:ln w="0">
            <a:solidFill>
              <a:schemeClr val="lt1"/>
            </a:solidFill>
          </a:ln>
          <a:effectLst>
            <a:outerShdw sx="1000" sy="1000" algn="ctr" rotWithShape="0">
              <a:srgbClr val="000000"/>
            </a:outerShdw>
          </a:effectLst>
          <a:scene3d>
            <a:camera prst="orthographicFront"/>
            <a:lightRig rig="threePt" dir="t"/>
          </a:scene3d>
          <a:sp3d>
            <a:bevelT w="0" h="0"/>
          </a:sp3d>
        </c:spPr>
      </c:pivotFmt>
      <c:pivotFmt>
        <c:idx val="5"/>
        <c:spPr>
          <a:solidFill>
            <a:schemeClr val="tx1">
              <a:lumMod val="95000"/>
              <a:lumOff val="5000"/>
            </a:schemeClr>
          </a:solidFill>
          <a:ln w="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67E22"/>
          </a:solidFill>
          <a:ln w="0">
            <a:solidFill>
              <a:schemeClr val="lt1"/>
            </a:solidFill>
          </a:ln>
          <a:effectLst>
            <a:outerShdw sx="1000" sy="1000" algn="ctr" rotWithShape="0">
              <a:srgbClr val="000000"/>
            </a:outerShdw>
          </a:effectLst>
          <a:scene3d>
            <a:camera prst="orthographicFront"/>
            <a:lightRig rig="threePt" dir="t"/>
          </a:scene3d>
          <a:sp3d>
            <a:bevelT w="0" h="0"/>
          </a:sp3d>
        </c:spPr>
      </c:pivotFmt>
      <c:pivotFmt>
        <c:idx val="8"/>
        <c:spPr>
          <a:solidFill>
            <a:srgbClr val="1F3864"/>
          </a:solidFill>
          <a:ln w="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j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Analisis!$B$41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B3-4E2B-9D21-6BC08D99AD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B3-4E2B-9D21-6BC08D99AD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Analisis!$A$42:$A$43</c:f>
              <c:strCache>
                <c:ptCount val="2"/>
                <c:pt idx="0">
                  <c:v>Importaciones </c:v>
                </c:pt>
                <c:pt idx="1">
                  <c:v>Exportaciones </c:v>
                </c:pt>
              </c:strCache>
            </c:strRef>
          </c:cat>
          <c:val>
            <c:numRef>
              <c:f>Analisis!$B$42:$B$43</c:f>
              <c:numCache>
                <c:formatCode>0.00%</c:formatCode>
                <c:ptCount val="2"/>
                <c:pt idx="0">
                  <c:v>0.41283675184624569</c:v>
                </c:pt>
                <c:pt idx="1">
                  <c:v>0.5871632481537542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1B-42A6-8A64-AC83564B5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539483</xdr:colOff>
      <xdr:row>25</xdr:row>
      <xdr:rowOff>52828</xdr:rowOff>
    </xdr:from>
    <xdr:to>
      <xdr:col>31</xdr:col>
      <xdr:colOff>46424</xdr:colOff>
      <xdr:row>44</xdr:row>
      <xdr:rowOff>81642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EEE2610B-9DF1-406F-86CC-5EC1B62FC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16811</xdr:colOff>
      <xdr:row>1</xdr:row>
      <xdr:rowOff>145276</xdr:rowOff>
    </xdr:from>
    <xdr:to>
      <xdr:col>24</xdr:col>
      <xdr:colOff>252135</xdr:colOff>
      <xdr:row>20</xdr:row>
      <xdr:rowOff>172576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8DE2756-485F-46AB-BBCA-30F667972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493059</xdr:colOff>
      <xdr:row>25</xdr:row>
      <xdr:rowOff>49425</xdr:rowOff>
    </xdr:from>
    <xdr:to>
      <xdr:col>17</xdr:col>
      <xdr:colOff>727059</xdr:colOff>
      <xdr:row>44</xdr:row>
      <xdr:rowOff>76725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E5C392E-2BAE-4D6F-86F4-16FD0644B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241565</xdr:colOff>
      <xdr:row>22</xdr:row>
      <xdr:rowOff>53308</xdr:rowOff>
    </xdr:from>
    <xdr:to>
      <xdr:col>5</xdr:col>
      <xdr:colOff>28653</xdr:colOff>
      <xdr:row>30</xdr:row>
      <xdr:rowOff>42103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CA8E0F86-09CB-86DA-F07E-367C40287088}"/>
            </a:ext>
          </a:extLst>
        </xdr:cNvPr>
        <xdr:cNvGrpSpPr/>
      </xdr:nvGrpSpPr>
      <xdr:grpSpPr>
        <a:xfrm>
          <a:off x="241565" y="4244308"/>
          <a:ext cx="3597088" cy="1512795"/>
          <a:chOff x="9056594" y="320488"/>
          <a:chExt cx="3597088" cy="1512795"/>
        </a:xfrm>
        <a:solidFill>
          <a:srgbClr val="1F3864"/>
        </a:solidFill>
      </xdr:grpSpPr>
      <xdr:sp macro="" textlink="Analisis!C23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B8C6A0BF-E144-4471-95AE-955088FF89D2}"/>
              </a:ext>
            </a:extLst>
          </xdr:cNvPr>
          <xdr:cNvSpPr/>
        </xdr:nvSpPr>
        <xdr:spPr>
          <a:xfrm>
            <a:off x="9056594" y="320488"/>
            <a:ext cx="3597088" cy="151279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5600116-51C3-4824-8FE0-7CC2F23D1B7E}" type="TxLink">
              <a:rPr lang="en-US" sz="4000" b="0" i="0" u="none" strike="noStrike">
                <a:solidFill>
                  <a:schemeClr val="bg1"/>
                </a:solidFill>
                <a:latin typeface="Aptos" panose="020B0004020202020204" pitchFamily="34" charset="0"/>
                <a:cs typeface="Aharoni" panose="02010803020104030203" pitchFamily="2" charset="-79"/>
              </a:rPr>
              <a:pPr algn="ctr"/>
              <a:t>80.855 M</a:t>
            </a:fld>
            <a:endParaRPr lang="en-US" sz="4000">
              <a:solidFill>
                <a:schemeClr val="bg1"/>
              </a:solidFill>
              <a:latin typeface="Aptos" panose="020B0004020202020204" pitchFamily="34" charset="0"/>
              <a:cs typeface="Aharoni" panose="02010803020104030203" pitchFamily="2" charset="-79"/>
            </a:endParaRPr>
          </a:p>
        </xdr:txBody>
      </xdr:sp>
      <xdr:sp macro="" textlink="Analisis!$I$3">
        <xdr:nvSpPr>
          <xdr:cNvPr id="19" name="Rectángulo: esquinas redondeadas 18">
            <a:extLst>
              <a:ext uri="{FF2B5EF4-FFF2-40B4-BE49-F238E27FC236}">
                <a16:creationId xmlns:a16="http://schemas.microsoft.com/office/drawing/2014/main" id="{6B0204AB-7452-4AB8-A999-78767CFD902B}"/>
              </a:ext>
            </a:extLst>
          </xdr:cNvPr>
          <xdr:cNvSpPr/>
        </xdr:nvSpPr>
        <xdr:spPr>
          <a:xfrm>
            <a:off x="10065123" y="1253939"/>
            <a:ext cx="1669677" cy="470647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F706A57-83BB-42F1-B26F-3716A02B40A8}" type="TxLink">
              <a:rPr lang="en-US" sz="1100" b="0" i="0" u="none" strike="noStrike">
                <a:solidFill>
                  <a:schemeClr val="bg1"/>
                </a:solidFill>
                <a:latin typeface="Aptos Narrow"/>
              </a:rPr>
              <a:pPr algn="ctr"/>
              <a:t>TONELADAS</a:t>
            </a:fld>
            <a:endParaRPr lang="es-MX" sz="1100">
              <a:solidFill>
                <a:schemeClr val="bg1"/>
              </a:solidFill>
            </a:endParaRPr>
          </a:p>
        </xdr:txBody>
      </xdr:sp>
      <xdr:sp macro="" textlink="Analisis!$C$3">
        <xdr:nvSpPr>
          <xdr:cNvPr id="21" name="Rectángulo: esquinas redondeadas 20">
            <a:extLst>
              <a:ext uri="{FF2B5EF4-FFF2-40B4-BE49-F238E27FC236}">
                <a16:creationId xmlns:a16="http://schemas.microsoft.com/office/drawing/2014/main" id="{23C96289-FF17-4962-86D2-ACEF77A60CDD}"/>
              </a:ext>
            </a:extLst>
          </xdr:cNvPr>
          <xdr:cNvSpPr/>
        </xdr:nvSpPr>
        <xdr:spPr>
          <a:xfrm>
            <a:off x="9825318" y="401173"/>
            <a:ext cx="2030506" cy="470647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77C9DCE-B585-4542-954F-2AD79CFC7C81}" type="TxLink">
              <a:rPr lang="en-US" sz="1200" b="0" i="0" u="none" strike="noStrike">
                <a:solidFill>
                  <a:schemeClr val="bg1"/>
                </a:solidFill>
                <a:latin typeface="Aptos Narrow"/>
              </a:rPr>
              <a:pPr algn="ctr"/>
              <a:t>CONSUMO NACIONAL</a:t>
            </a:fld>
            <a:endParaRPr lang="es-MX" sz="12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25</xdr:col>
      <xdr:colOff>29615</xdr:colOff>
      <xdr:row>1</xdr:row>
      <xdr:rowOff>44822</xdr:rowOff>
    </xdr:from>
    <xdr:to>
      <xdr:col>32</xdr:col>
      <xdr:colOff>567497</xdr:colOff>
      <xdr:row>21</xdr:row>
      <xdr:rowOff>72839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395AB395-2811-E359-5CD4-CC1EA413C7ED}"/>
            </a:ext>
          </a:extLst>
        </xdr:cNvPr>
        <xdr:cNvGrpSpPr/>
      </xdr:nvGrpSpPr>
      <xdr:grpSpPr>
        <a:xfrm>
          <a:off x="19079615" y="235322"/>
          <a:ext cx="5871882" cy="3838017"/>
          <a:chOff x="13514294" y="425822"/>
          <a:chExt cx="5871882" cy="3838017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3" name="concepto 1">
                <a:extLst>
                  <a:ext uri="{FF2B5EF4-FFF2-40B4-BE49-F238E27FC236}">
                    <a16:creationId xmlns:a16="http://schemas.microsoft.com/office/drawing/2014/main" id="{67E6F5D5-319B-4156-A971-DA3195458DF2}"/>
                  </a:ext>
                </a:extLst>
              </xdr:cNvPr>
              <xdr:cNvGraphicFramePr/>
            </xdr:nvGraphicFramePr>
            <xdr:xfrm>
              <a:off x="13525499" y="425822"/>
              <a:ext cx="5860677" cy="773207"/>
            </xdr:xfrm>
            <a:graphic>
              <a:graphicData uri="http://schemas.microsoft.com/office/drawing/2010/slicer">
                <sle:slicer xmlns:sle="http://schemas.microsoft.com/office/drawing/2010/slicer" name="concept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9090820" y="235322"/>
                <a:ext cx="5860677" cy="77320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MX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4" name="AÑO 1">
                <a:extLst>
                  <a:ext uri="{FF2B5EF4-FFF2-40B4-BE49-F238E27FC236}">
                    <a16:creationId xmlns:a16="http://schemas.microsoft.com/office/drawing/2014/main" id="{837C8FDA-7619-4A71-91BB-8BB0A02C27BA}"/>
                  </a:ext>
                </a:extLst>
              </xdr:cNvPr>
              <xdr:cNvGraphicFramePr/>
            </xdr:nvGraphicFramePr>
            <xdr:xfrm>
              <a:off x="13514294" y="1311089"/>
              <a:ext cx="2752725" cy="2952750"/>
            </xdr:xfrm>
            <a:graphic>
              <a:graphicData uri="http://schemas.microsoft.com/office/drawing/2010/slicer">
                <sle:slicer xmlns:sle="http://schemas.microsoft.com/office/drawing/2010/slicer" name="AÑ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9079615" y="1120589"/>
                <a:ext cx="2752725" cy="29527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MX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MESES 1">
                <a:extLst>
                  <a:ext uri="{FF2B5EF4-FFF2-40B4-BE49-F238E27FC236}">
                    <a16:creationId xmlns:a16="http://schemas.microsoft.com/office/drawing/2014/main" id="{81C379F0-B9F4-4FD3-96C9-44E444F323E6}"/>
                  </a:ext>
                </a:extLst>
              </xdr:cNvPr>
              <xdr:cNvGraphicFramePr/>
            </xdr:nvGraphicFramePr>
            <xdr:xfrm>
              <a:off x="16763999" y="1322295"/>
              <a:ext cx="2619376" cy="2143125"/>
            </xdr:xfrm>
            <a:graphic>
              <a:graphicData uri="http://schemas.microsoft.com/office/drawing/2010/slicer">
                <sle:slicer xmlns:sle="http://schemas.microsoft.com/office/drawing/2010/slicer" name="MESES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2329320" y="1131795"/>
                <a:ext cx="2619376" cy="21431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MX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225719</xdr:colOff>
      <xdr:row>12</xdr:row>
      <xdr:rowOff>21131</xdr:rowOff>
    </xdr:from>
    <xdr:to>
      <xdr:col>5</xdr:col>
      <xdr:colOff>12807</xdr:colOff>
      <xdr:row>20</xdr:row>
      <xdr:rowOff>9926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1D4F2C24-A7A0-63C6-AA23-C9F64DE3A560}"/>
            </a:ext>
          </a:extLst>
        </xdr:cNvPr>
        <xdr:cNvGrpSpPr/>
      </xdr:nvGrpSpPr>
      <xdr:grpSpPr>
        <a:xfrm>
          <a:off x="225719" y="2307131"/>
          <a:ext cx="3597088" cy="1512795"/>
          <a:chOff x="280147" y="320488"/>
          <a:chExt cx="3597088" cy="1512795"/>
        </a:xfrm>
        <a:solidFill>
          <a:srgbClr val="1F3864"/>
        </a:solidFill>
      </xdr:grpSpPr>
      <xdr:sp macro="" textlink="Analisis!A23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17F2FC4A-1FCE-B5EE-34AE-175E24570CA0}"/>
              </a:ext>
            </a:extLst>
          </xdr:cNvPr>
          <xdr:cNvSpPr/>
        </xdr:nvSpPr>
        <xdr:spPr>
          <a:xfrm>
            <a:off x="280147" y="320488"/>
            <a:ext cx="3597088" cy="151279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F33B442-33BB-4EB2-A7A6-8A9973B9ACFD}" type="TxLink">
              <a:rPr lang="en-US" sz="4000" b="0" i="0" u="none" strike="noStrike">
                <a:solidFill>
                  <a:schemeClr val="bg1"/>
                </a:solidFill>
                <a:latin typeface="Aptos" panose="020B0004020202020204" pitchFamily="34" charset="0"/>
                <a:cs typeface="Aharoni" panose="02010803020104030203" pitchFamily="2" charset="-79"/>
              </a:rPr>
              <a:pPr algn="ctr"/>
              <a:t>88.248 M</a:t>
            </a:fld>
            <a:endParaRPr lang="en-US" sz="4000">
              <a:solidFill>
                <a:schemeClr val="bg1"/>
              </a:solidFill>
              <a:latin typeface="Aptos" panose="020B0004020202020204" pitchFamily="34" charset="0"/>
              <a:cs typeface="Aharoni" panose="02010803020104030203" pitchFamily="2" charset="-79"/>
            </a:endParaRPr>
          </a:p>
        </xdr:txBody>
      </xdr:sp>
      <xdr:sp macro="" textlink="Analisis!$I$3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C574B59E-AD7C-4B05-9A58-DF8F22778FC4}"/>
              </a:ext>
            </a:extLst>
          </xdr:cNvPr>
          <xdr:cNvSpPr/>
        </xdr:nvSpPr>
        <xdr:spPr>
          <a:xfrm>
            <a:off x="1207993" y="1253939"/>
            <a:ext cx="1669677" cy="470647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F706A57-83BB-42F1-B26F-3716A02B40A8}" type="TxLink">
              <a:rPr lang="en-US" sz="1100" b="0" i="0" u="none" strike="noStrike">
                <a:solidFill>
                  <a:schemeClr val="bg1"/>
                </a:solidFill>
                <a:latin typeface="Aptos Narrow"/>
              </a:rPr>
              <a:pPr algn="ctr"/>
              <a:t>TONELADAS</a:t>
            </a:fld>
            <a:endParaRPr lang="es-MX" sz="1100">
              <a:solidFill>
                <a:schemeClr val="bg1"/>
              </a:solidFill>
            </a:endParaRPr>
          </a:p>
        </xdr:txBody>
      </xdr:sp>
      <xdr:sp macro="" textlink="Analisis!$C$4">
        <xdr:nvSpPr>
          <xdr:cNvPr id="10" name="Rectángulo: esquinas redondeadas 9">
            <a:extLst>
              <a:ext uri="{FF2B5EF4-FFF2-40B4-BE49-F238E27FC236}">
                <a16:creationId xmlns:a16="http://schemas.microsoft.com/office/drawing/2014/main" id="{0471C7D3-FA55-4CBC-BFD0-6EF91AE50B66}"/>
              </a:ext>
            </a:extLst>
          </xdr:cNvPr>
          <xdr:cNvSpPr/>
        </xdr:nvSpPr>
        <xdr:spPr>
          <a:xfrm>
            <a:off x="1035424" y="401173"/>
            <a:ext cx="2030506" cy="470647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B5221D1-C26A-41E7-9AA8-1643A1931C63}" type="TxLink">
              <a:rPr lang="en-US" sz="1200" b="0" i="0" u="none" strike="noStrike">
                <a:solidFill>
                  <a:schemeClr val="bg1"/>
                </a:solidFill>
                <a:latin typeface="Aptos Narrow"/>
              </a:rPr>
              <a:pPr algn="ctr"/>
              <a:t>PRODUCCION</a:t>
            </a:fld>
            <a:endParaRPr lang="es-MX" sz="12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246048</xdr:colOff>
      <xdr:row>32</xdr:row>
      <xdr:rowOff>116381</xdr:rowOff>
    </xdr:from>
    <xdr:to>
      <xdr:col>5</xdr:col>
      <xdr:colOff>33136</xdr:colOff>
      <xdr:row>40</xdr:row>
      <xdr:rowOff>105176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5DAFB954-0394-7DC0-5B66-1CDFA6400A7A}"/>
            </a:ext>
          </a:extLst>
        </xdr:cNvPr>
        <xdr:cNvGrpSpPr/>
      </xdr:nvGrpSpPr>
      <xdr:grpSpPr>
        <a:xfrm>
          <a:off x="246048" y="6212381"/>
          <a:ext cx="3597088" cy="1512795"/>
          <a:chOff x="4578723" y="320488"/>
          <a:chExt cx="3597088" cy="1512795"/>
        </a:xfrm>
        <a:solidFill>
          <a:srgbClr val="1F3864"/>
        </a:solidFill>
      </xdr:grpSpPr>
      <xdr:sp macro="" textlink="Analisis!B23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7986C85D-2049-4331-9670-41588BDE9219}"/>
              </a:ext>
            </a:extLst>
          </xdr:cNvPr>
          <xdr:cNvSpPr/>
        </xdr:nvSpPr>
        <xdr:spPr>
          <a:xfrm>
            <a:off x="4578723" y="320488"/>
            <a:ext cx="3597088" cy="151279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8B5077-84F2-4936-9747-C10EC2F362F4}" type="TxLink">
              <a:rPr lang="en-US" sz="4000" b="0" i="0" u="none" strike="noStrike">
                <a:solidFill>
                  <a:schemeClr val="bg1"/>
                </a:solidFill>
                <a:latin typeface="Aptos" panose="020B0004020202020204" pitchFamily="34" charset="0"/>
                <a:cs typeface="Aharoni" panose="02010803020104030203" pitchFamily="2" charset="-79"/>
              </a:rPr>
              <a:pPr algn="ctr"/>
              <a:t>22.605 M</a:t>
            </a:fld>
            <a:endParaRPr lang="en-US" sz="4000">
              <a:solidFill>
                <a:schemeClr val="bg1"/>
              </a:solidFill>
              <a:latin typeface="Aptos" panose="020B0004020202020204" pitchFamily="34" charset="0"/>
              <a:cs typeface="Aharoni" panose="02010803020104030203" pitchFamily="2" charset="-79"/>
            </a:endParaRPr>
          </a:p>
        </xdr:txBody>
      </xdr:sp>
      <xdr:sp macro="" textlink="Analisis!$I$3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35C0E830-5ADA-414D-8081-5D2779C55389}"/>
              </a:ext>
            </a:extLst>
          </xdr:cNvPr>
          <xdr:cNvSpPr/>
        </xdr:nvSpPr>
        <xdr:spPr>
          <a:xfrm>
            <a:off x="5573804" y="1253939"/>
            <a:ext cx="1669677" cy="470647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F706A57-83BB-42F1-B26F-3716A02B40A8}" type="TxLink">
              <a:rPr lang="en-US" sz="1100" b="0" i="0" u="none" strike="noStrike">
                <a:solidFill>
                  <a:schemeClr val="bg1"/>
                </a:solidFill>
                <a:latin typeface="Aptos Narrow"/>
              </a:rPr>
              <a:pPr algn="ctr"/>
              <a:t>TONELADAS</a:t>
            </a:fld>
            <a:endParaRPr lang="es-MX" sz="1100">
              <a:solidFill>
                <a:schemeClr val="bg1"/>
              </a:solidFill>
            </a:endParaRPr>
          </a:p>
        </xdr:txBody>
      </xdr:sp>
      <xdr:sp macro="" textlink="Analisis!$C$5">
        <xdr:nvSpPr>
          <xdr:cNvPr id="11" name="Rectángulo: esquinas redondeadas 10">
            <a:extLst>
              <a:ext uri="{FF2B5EF4-FFF2-40B4-BE49-F238E27FC236}">
                <a16:creationId xmlns:a16="http://schemas.microsoft.com/office/drawing/2014/main" id="{4125CD23-2738-4D09-A8D0-708328ABDE39}"/>
              </a:ext>
            </a:extLst>
          </xdr:cNvPr>
          <xdr:cNvSpPr/>
        </xdr:nvSpPr>
        <xdr:spPr>
          <a:xfrm>
            <a:off x="5401237" y="401173"/>
            <a:ext cx="2030506" cy="470647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C49561D-6AB7-45CF-B4A4-BBF1871B47A0}" type="TxLink">
              <a:rPr lang="en-US" sz="1200" b="0" i="0" u="none" strike="noStrike">
                <a:solidFill>
                  <a:schemeClr val="bg1"/>
                </a:solidFill>
                <a:latin typeface="Aptos Narrow"/>
              </a:rPr>
              <a:pPr algn="ctr"/>
              <a:t>EXPORTACIONES</a:t>
            </a:fld>
            <a:endParaRPr lang="es-MX" sz="12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571501</xdr:colOff>
      <xdr:row>1</xdr:row>
      <xdr:rowOff>136070</xdr:rowOff>
    </xdr:from>
    <xdr:to>
      <xdr:col>11</xdr:col>
      <xdr:colOff>530679</xdr:colOff>
      <xdr:row>20</xdr:row>
      <xdr:rowOff>149677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FD3D0B53-80B1-A569-7FF9-C869847FA55E}"/>
            </a:ext>
          </a:extLst>
        </xdr:cNvPr>
        <xdr:cNvGrpSpPr/>
      </xdr:nvGrpSpPr>
      <xdr:grpSpPr>
        <a:xfrm>
          <a:off x="4381501" y="326570"/>
          <a:ext cx="4531178" cy="3633107"/>
          <a:chOff x="14219465" y="312963"/>
          <a:chExt cx="4531178" cy="3633107"/>
        </a:xfrm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5D6091C0-7932-4174-A18C-BF75CC86C531}"/>
              </a:ext>
            </a:extLst>
          </xdr:cNvPr>
          <xdr:cNvGraphicFramePr>
            <a:graphicFrameLocks/>
          </xdr:cNvGraphicFramePr>
        </xdr:nvGraphicFramePr>
        <xdr:xfrm>
          <a:off x="14219465" y="312963"/>
          <a:ext cx="4531178" cy="36331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Analisis!I4">
        <xdr:nvSpPr>
          <xdr:cNvPr id="17" name="Rectángulo: esquinas redondeadas 16">
            <a:extLst>
              <a:ext uri="{FF2B5EF4-FFF2-40B4-BE49-F238E27FC236}">
                <a16:creationId xmlns:a16="http://schemas.microsoft.com/office/drawing/2014/main" id="{81F4AF70-DF60-174B-B6C9-2D7C6D55C70D}"/>
              </a:ext>
            </a:extLst>
          </xdr:cNvPr>
          <xdr:cNvSpPr/>
        </xdr:nvSpPr>
        <xdr:spPr>
          <a:xfrm>
            <a:off x="14654891" y="326571"/>
            <a:ext cx="3741965" cy="42182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BAAC7E1-C21D-4075-B496-FC3CC283FBC5}" type="TxLink">
              <a:rPr lang="en-US" sz="1400" b="0" i="0" u="none" strike="noStrike">
                <a:solidFill>
                  <a:srgbClr val="000000"/>
                </a:solidFill>
                <a:latin typeface="Aptos Narrow"/>
              </a:rPr>
              <a:pPr algn="ctr"/>
              <a:t>Balance comercial acumulado</a:t>
            </a:fld>
            <a:endParaRPr lang="es-MX" sz="1400">
              <a:solidFill>
                <a:sysClr val="windowText" lastClr="000000"/>
              </a:solidFill>
              <a:latin typeface="+mj-lt"/>
            </a:endParaRPr>
          </a:p>
        </xdr:txBody>
      </xdr:sp>
    </xdr:grpSp>
    <xdr:clientData/>
  </xdr:twoCellAnchor>
  <xdr:twoCellAnchor>
    <xdr:from>
      <xdr:col>0</xdr:col>
      <xdr:colOff>217073</xdr:colOff>
      <xdr:row>1</xdr:row>
      <xdr:rowOff>175773</xdr:rowOff>
    </xdr:from>
    <xdr:to>
      <xdr:col>5</xdr:col>
      <xdr:colOff>4161</xdr:colOff>
      <xdr:row>9</xdr:row>
      <xdr:rowOff>164568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94ECD63A-0A8B-4278-B719-8B12E618057B}"/>
            </a:ext>
          </a:extLst>
        </xdr:cNvPr>
        <xdr:cNvGrpSpPr/>
      </xdr:nvGrpSpPr>
      <xdr:grpSpPr>
        <a:xfrm>
          <a:off x="217073" y="366273"/>
          <a:ext cx="3597088" cy="1512795"/>
          <a:chOff x="9056594" y="320488"/>
          <a:chExt cx="3597088" cy="1512795"/>
        </a:xfrm>
        <a:solidFill>
          <a:srgbClr val="1F3864"/>
        </a:solidFill>
      </xdr:grpSpPr>
      <xdr:sp macro="" textlink="Analisis!E47">
        <xdr:nvSpPr>
          <xdr:cNvPr id="25" name="Rectángulo: esquinas redondeadas 24">
            <a:extLst>
              <a:ext uri="{FF2B5EF4-FFF2-40B4-BE49-F238E27FC236}">
                <a16:creationId xmlns:a16="http://schemas.microsoft.com/office/drawing/2014/main" id="{0A858B3C-5B9A-0F38-87B4-E8262E90646A}"/>
              </a:ext>
            </a:extLst>
          </xdr:cNvPr>
          <xdr:cNvSpPr/>
        </xdr:nvSpPr>
        <xdr:spPr>
          <a:xfrm>
            <a:off x="9056594" y="320488"/>
            <a:ext cx="3597088" cy="151279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A016450-C778-4E16-B8B0-FF1A74C22717}" type="TxLink">
              <a:rPr lang="en-US" sz="4000" b="0" i="0" u="none" strike="noStrike">
                <a:solidFill>
                  <a:schemeClr val="bg1"/>
                </a:solidFill>
                <a:latin typeface="+mj-lt"/>
                <a:cs typeface="Aharoni" panose="02010803020104030203" pitchFamily="2" charset="-79"/>
              </a:rPr>
              <a:pPr algn="ctr"/>
              <a:t>104.18 M</a:t>
            </a:fld>
            <a:endParaRPr lang="en-US" sz="4000">
              <a:solidFill>
                <a:schemeClr val="bg1"/>
              </a:solidFill>
              <a:latin typeface="+mj-lt"/>
              <a:cs typeface="Aharoni" panose="02010803020104030203" pitchFamily="2" charset="-79"/>
            </a:endParaRPr>
          </a:p>
        </xdr:txBody>
      </xdr:sp>
      <xdr:sp macro="" textlink="Analisis!$I$3">
        <xdr:nvSpPr>
          <xdr:cNvPr id="29" name="Rectángulo: esquinas redondeadas 28">
            <a:extLst>
              <a:ext uri="{FF2B5EF4-FFF2-40B4-BE49-F238E27FC236}">
                <a16:creationId xmlns:a16="http://schemas.microsoft.com/office/drawing/2014/main" id="{1A154DDD-7502-3EB3-60AE-AD58742B0BC4}"/>
              </a:ext>
            </a:extLst>
          </xdr:cNvPr>
          <xdr:cNvSpPr/>
        </xdr:nvSpPr>
        <xdr:spPr>
          <a:xfrm>
            <a:off x="10065123" y="1253939"/>
            <a:ext cx="1669677" cy="470647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4B0BD23-FA06-4E3E-93BF-C1C9E2D1A97B}" type="TxLink">
              <a:rPr lang="en-US" sz="1100" b="0" i="0" u="none" strike="noStrike">
                <a:solidFill>
                  <a:schemeClr val="bg1"/>
                </a:solidFill>
                <a:latin typeface="+mj-lt"/>
              </a:rPr>
              <a:pPr algn="ctr"/>
              <a:t>TONELADAS</a:t>
            </a:fld>
            <a:endParaRPr lang="es-MX" sz="1100">
              <a:solidFill>
                <a:schemeClr val="bg1"/>
              </a:solidFill>
              <a:latin typeface="+mj-lt"/>
            </a:endParaRPr>
          </a:p>
        </xdr:txBody>
      </xdr:sp>
      <xdr:sp macro="" textlink="Analisis!C6">
        <xdr:nvSpPr>
          <xdr:cNvPr id="30" name="Rectángulo: esquinas redondeadas 29">
            <a:extLst>
              <a:ext uri="{FF2B5EF4-FFF2-40B4-BE49-F238E27FC236}">
                <a16:creationId xmlns:a16="http://schemas.microsoft.com/office/drawing/2014/main" id="{65964A5E-8B43-8BA0-7E39-AF615AE23DF8}"/>
              </a:ext>
            </a:extLst>
          </xdr:cNvPr>
          <xdr:cNvSpPr/>
        </xdr:nvSpPr>
        <xdr:spPr>
          <a:xfrm>
            <a:off x="9825318" y="401173"/>
            <a:ext cx="2030506" cy="470647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4664D08-5A14-4AC8-B7AB-A0C94D82BD39}" type="TxLink">
              <a:rPr lang="en-US" sz="1200" b="0" i="0" u="none" strike="noStrike">
                <a:solidFill>
                  <a:schemeClr val="bg1"/>
                </a:solidFill>
                <a:latin typeface="Aptos Narrow"/>
              </a:rPr>
              <a:pPr algn="ctr"/>
              <a:t>DEMANDA</a:t>
            </a:fld>
            <a:endParaRPr lang="es-MX" sz="1200">
              <a:solidFill>
                <a:schemeClr val="bg1"/>
              </a:solidFill>
              <a:latin typeface="+mj-lt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eth Hernández" refreshedDate="46107.509195370367" missingItemsLimit="0" createdVersion="8" refreshedVersion="8" minRefreshableVersion="3" recordCount="342" xr:uid="{1E610299-A108-45BD-B3F2-D50BEA71A43F}">
  <cacheSource type="worksheet">
    <worksheetSource name="Tabla1"/>
  </cacheSource>
  <cacheFields count="24">
    <cacheField name="AÑO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mes" numFmtId="0">
      <sharedItems containsSemiMixedTypes="0" containsString="0" containsNumber="1" containsInteger="1" minValue="1" maxValue="12"/>
    </cacheField>
    <cacheField name="MESES" numFmtId="0">
      <sharedItems count="12">
        <s v="octubre"/>
        <s v="noviembre"/>
        <s v="diciembre"/>
        <s v="enero"/>
        <s v="febrero"/>
        <s v="marzo"/>
        <s v="abril"/>
        <s v="mayo"/>
        <s v="junio"/>
        <s v="julio"/>
        <s v="agosto"/>
        <s v="septiembre"/>
      </sharedItems>
    </cacheField>
    <cacheField name="concepto" numFmtId="0">
      <sharedItems count="2">
        <s v="AZUCAR"/>
        <s v="JMRF"/>
      </sharedItems>
    </cacheField>
    <cacheField name="oferta_total" numFmtId="164">
      <sharedItems containsSemiMixedTypes="0" containsString="0" containsNumber="1" minValue="89322.032550000004" maxValue="4198057"/>
    </cacheField>
    <cacheField name="inventario_inicial" numFmtId="164">
      <sharedItems containsSemiMixedTypes="0" containsString="0" containsNumber="1" minValue="0" maxValue="3487793"/>
    </cacheField>
    <cacheField name="produccion" numFmtId="164">
      <sharedItems containsSemiMixedTypes="0" containsString="0" containsNumber="1" minValue="0" maxValue="1249593.848"/>
    </cacheField>
    <cacheField name="importaciones_totales" numFmtId="164">
      <sharedItems containsSemiMixedTypes="0" containsString="0" containsNumber="1" minValue="0" maxValue="143872.5576" count="340">
        <n v="18693"/>
        <n v="40867"/>
        <n v="39238"/>
        <n v="124049"/>
        <n v="1749"/>
        <n v="2032"/>
        <n v="1639"/>
        <n v="1157"/>
        <n v="1506"/>
        <n v="1623"/>
        <n v="2024"/>
        <n v="1884"/>
        <n v="1777"/>
        <n v="1671"/>
        <n v="870"/>
        <n v="403"/>
        <n v="496"/>
        <n v="329"/>
        <n v="472"/>
        <n v="570"/>
        <n v="743"/>
        <n v="429"/>
        <n v="919"/>
        <n v="698"/>
        <n v="546"/>
        <n v="549"/>
        <n v="752"/>
        <n v="1378"/>
        <n v="461"/>
        <n v="544"/>
        <n v="463"/>
        <n v="580"/>
        <n v="1343"/>
        <n v="513"/>
        <n v="614"/>
        <n v="957"/>
        <n v="942"/>
        <n v="945"/>
        <n v="1126"/>
        <n v="183"/>
        <n v="208"/>
        <n v="595"/>
        <n v="464"/>
        <n v="489"/>
        <n v="1375"/>
        <n v="418"/>
        <n v="302"/>
        <n v="364"/>
        <n v="387"/>
        <n v="657"/>
        <n v="2653"/>
        <n v="0"/>
        <n v="5618"/>
        <n v="402"/>
        <n v="525"/>
        <n v="510"/>
        <n v="1198"/>
        <n v="4229"/>
        <n v="5088.8774110000004"/>
        <n v="3244.5898000000002"/>
        <n v="1222.5514149999999"/>
        <n v="2442.7121109999998"/>
        <n v="2216.5700999999999"/>
        <n v="3258.210869"/>
        <n v="1989.2011030000001"/>
        <n v="2691.9575599999998"/>
        <n v="3361.3210549999999"/>
        <n v="6788.8818680000004"/>
        <n v="10415.252"/>
        <n v="5669.4566640000003"/>
        <n v="30353.686259999999"/>
        <n v="5196.7502119999999"/>
        <n v="3216.3437490000001"/>
        <n v="44460.841370000002"/>
        <n v="10100.19868"/>
        <n v="17038.66012"/>
        <n v="6934.583901"/>
        <n v="5624.7844610000002"/>
        <n v="2523.41696"/>
        <n v="1646.450116"/>
        <n v="2951.900897"/>
        <n v="2295.3397920000002"/>
        <n v="1409.06051"/>
        <n v="668.00204859999997"/>
        <n v="1274.2289840000001"/>
        <n v="591.72227650000002"/>
        <n v="1076.9672330000001"/>
        <n v="6512.5304509999996"/>
        <n v="1197.5387009999999"/>
        <n v="1492.39787"/>
        <n v="939.61129000000005"/>
        <n v="2064.7583570000002"/>
        <n v="2514.7996050000002"/>
        <n v="1929.0092749999999"/>
        <n v="2912.860604"/>
        <n v="5350.9358679999996"/>
        <n v="3930.6554430000001"/>
        <n v="2147.4081649999998"/>
        <n v="946.50888929999996"/>
        <n v="639.1195927"/>
        <n v="1011.129372"/>
        <n v="1739.183794"/>
        <n v="4437.1943959999999"/>
        <n v="2788.894894"/>
        <n v="10788.745339999999"/>
        <n v="17853.303090000001"/>
        <n v="8394.1754060000003"/>
        <n v="3204.601627"/>
        <n v="1884.193012"/>
        <n v="1234.800888"/>
        <n v="549.37664789999997"/>
        <n v="1757.6852260000001"/>
        <n v="1463.862359"/>
        <n v="3938.144546"/>
        <n v="5308.713855"/>
        <n v="2232.0170499999999"/>
        <n v="1529.911548"/>
        <n v="375.37068900000003"/>
        <n v="467.87467240000001"/>
        <n v="599.44231639999998"/>
        <n v="464.43788380000001"/>
        <n v="571.38797099999999"/>
        <n v="451.165615"/>
        <n v="613.54145389999996"/>
        <n v="712.13737100000003"/>
        <n v="547.31600400000002"/>
        <n v="686.11417659999995"/>
        <n v="521.73518130000002"/>
        <n v="804.701686"/>
        <n v="425.28126880000002"/>
        <n v="622.50477720000004"/>
        <n v="661.78759400000001"/>
        <n v="350.70200260000001"/>
        <n v="319.27150599999999"/>
        <n v="320.99821980000002"/>
        <n v="2109.117088"/>
        <n v="7086.4717799999999"/>
        <n v="29344.93333"/>
        <n v="55769.310129999998"/>
        <n v="73022.43492"/>
        <n v="53766.580710000002"/>
        <n v="43138.445610000002"/>
        <n v="41375.935219999999"/>
        <n v="92814.443650000001"/>
        <n v="68946.834149999995"/>
        <n v="94244.837289999996"/>
        <n v="74240.999490000002"/>
        <n v="63362.781199999998"/>
        <n v="60145.86623"/>
        <n v="67887.863949999999"/>
        <n v="42521.800309999999"/>
        <n v="45162.794099999999"/>
        <n v="39949.732259999997"/>
        <n v="30870.60543"/>
        <n v="24913.67455"/>
        <n v="23603.59822"/>
        <n v="30045.412049999999"/>
        <n v="12020.53865"/>
        <n v="13695.48747"/>
        <n v="12962.54624"/>
        <n v="9133.7958629999994"/>
        <n v="7222.8845179999998"/>
        <n v="11050.95196"/>
        <n v="10182.64947"/>
        <n v="5963.0142669999996"/>
        <n v="6083.7250709999998"/>
        <n v="3938.8010869999998"/>
        <n v="787.21578820000002"/>
        <n v="4545.7520020000002"/>
        <n v="97299"/>
        <n v="107721"/>
        <n v="91842"/>
        <n v="100114"/>
        <n v="81682"/>
        <n v="110562"/>
        <n v="130298"/>
        <n v="112385"/>
        <n v="117431"/>
        <n v="122573"/>
        <n v="110097"/>
        <n v="100805"/>
        <n v="99460"/>
        <n v="106923"/>
        <n v="86108"/>
        <n v="101366"/>
        <n v="68286"/>
        <n v="87128"/>
        <n v="100178"/>
        <n v="88440"/>
        <n v="83966"/>
        <n v="101854"/>
        <n v="97090"/>
        <n v="84555"/>
        <n v="74564"/>
        <n v="84783"/>
        <n v="68159"/>
        <n v="74513"/>
        <n v="52359"/>
        <n v="73226"/>
        <n v="75768"/>
        <n v="91032"/>
        <n v="64873"/>
        <n v="86012"/>
        <n v="69626"/>
        <n v="97621"/>
        <n v="82350"/>
        <n v="73663"/>
        <n v="72866"/>
        <n v="81802"/>
        <n v="57657"/>
        <n v="75478"/>
        <n v="91206"/>
        <n v="88728"/>
        <n v="93777"/>
        <n v="100554"/>
        <n v="76138"/>
        <n v="84456"/>
        <n v="76901"/>
        <n v="70987"/>
        <n v="83430"/>
        <n v="59198"/>
        <n v="80423"/>
        <n v="75627"/>
        <n v="87141"/>
        <n v="80598"/>
        <n v="107678"/>
        <n v="89458"/>
        <n v="95382"/>
        <n v="88603"/>
        <n v="68958.287649999998"/>
        <n v="88617.30631"/>
        <n v="79723.318570000003"/>
        <n v="83138.001319999996"/>
        <n v="72646.783979999993"/>
        <n v="93690.955489999993"/>
        <n v="78390.61722"/>
        <n v="108535.7184"/>
        <n v="95908.606759999995"/>
        <n v="98013.957949999996"/>
        <n v="91312.073269999993"/>
        <n v="84168.540630000003"/>
        <n v="73553.747289999999"/>
        <n v="86935.042889999997"/>
        <n v="104240.62669999999"/>
        <n v="74064.131080000006"/>
        <n v="70140.130980000002"/>
        <n v="84063.166450000004"/>
        <n v="103372.4917"/>
        <n v="93790.116469999994"/>
        <n v="97087.862450000001"/>
        <n v="94344.603369999997"/>
        <n v="95835.868390000003"/>
        <n v="88700.225229999996"/>
        <n v="82635.631009999997"/>
        <n v="62068.786319999999"/>
        <n v="79082.149109999998"/>
        <n v="68922.846019999997"/>
        <n v="75361.071400000001"/>
        <n v="80412.565059999994"/>
        <n v="102327.2377"/>
        <n v="101002.6839"/>
        <n v="93855.401029999994"/>
        <n v="91792.087610000002"/>
        <n v="77957.703120000006"/>
        <n v="83187.679829999994"/>
        <n v="76112.531830000007"/>
        <n v="71908.707479999997"/>
        <n v="65398.281940000001"/>
        <n v="69847.093139999997"/>
        <n v="66279.370639999994"/>
        <n v="69537.944350000005"/>
        <n v="66526.073180000007"/>
        <n v="73480.746599999999"/>
        <n v="77157.327869999994"/>
        <n v="80775.246520000001"/>
        <n v="64222.113570000001"/>
        <n v="76509.259699999995"/>
        <n v="74245.459789999994"/>
        <n v="63525.976560000003"/>
        <n v="67203.517980000004"/>
        <n v="58457.603759999998"/>
        <n v="52602.529289999999"/>
        <n v="59723.491190000001"/>
        <n v="78610.264880000002"/>
        <n v="70999.392720000003"/>
        <n v="76615.253779999999"/>
        <n v="63937.444439999999"/>
        <n v="66437.808869999993"/>
        <n v="71826.951360000006"/>
        <n v="60079.993320000001"/>
        <n v="54683.223760000001"/>
        <n v="78050.807539999994"/>
        <n v="57803.393429999996"/>
        <n v="50494.694869999999"/>
        <n v="59904.463949999998"/>
        <n v="63599.36131"/>
        <n v="68717.324930000002"/>
        <n v="85438.319870000007"/>
        <n v="68685.902690000003"/>
        <n v="63703.289920000003"/>
        <n v="64255.457029999998"/>
        <n v="79236.661049999995"/>
        <n v="69795.983869999996"/>
        <n v="66968.836550000007"/>
        <n v="67253.879000000001"/>
        <n v="60466.526230000003"/>
        <n v="69719.962830000004"/>
        <n v="72133.914449999997"/>
        <n v="75150.972150000001"/>
        <n v="76600.112359999999"/>
        <n v="87828.247619999995"/>
        <n v="82732.073099999994"/>
        <n v="67630.838539999997"/>
        <n v="89836.342069999999"/>
        <n v="72055.183550000002"/>
        <n v="45988.699220000002"/>
        <n v="83987.918030000001"/>
        <n v="87856.034100000004"/>
        <n v="85782.959870000006"/>
        <n v="95777.125499999995"/>
        <n v="98804.556750000003"/>
        <n v="102684.63499999999"/>
        <n v="143872.5576"/>
        <n v="82718.072750000007"/>
        <n v="91990.264890000006"/>
        <n v="86278.909960000005"/>
        <n v="77210.750270000004"/>
        <n v="105974.3913"/>
        <n v="67402.350649999993"/>
        <n v="88081.690759999998"/>
        <n v="109478.7997"/>
        <n v="137752.43609999999"/>
        <n v="89085.255480000007"/>
        <n v="96383.585380000004"/>
        <n v="86357.26165"/>
        <n v="88201.517380000005"/>
        <n v="91191.882199999993"/>
        <n v="92021.809580000001"/>
        <n v="70236.691399999996"/>
        <n v="90455.922579999999"/>
      </sharedItems>
    </cacheField>
    <cacheField name="demanda_total" numFmtId="164">
      <sharedItems containsSemiMixedTypes="0" containsString="0" containsNumber="1" minValue="89322.032550000004" maxValue="1043563"/>
    </cacheField>
    <cacheField name="exportaciones_totales" numFmtId="164">
      <sharedItems containsSemiMixedTypes="0" containsString="0" containsNumber="1" minValue="112.1177721" maxValue="323122" count="338">
        <n v="75702"/>
        <n v="53789"/>
        <n v="50087"/>
        <n v="62285"/>
        <n v="103484"/>
        <n v="102172"/>
        <n v="116765"/>
        <n v="80109"/>
        <n v="56968"/>
        <n v="90191"/>
        <n v="87596"/>
        <n v="61999"/>
        <n v="110823"/>
        <n v="58384"/>
        <n v="81205"/>
        <n v="114753"/>
        <n v="144962"/>
        <n v="216159"/>
        <n v="213159"/>
        <n v="238140"/>
        <n v="212758"/>
        <n v="296285"/>
        <n v="275877"/>
        <n v="240052"/>
        <n v="268308"/>
        <n v="258926"/>
        <n v="217107"/>
        <n v="125474"/>
        <n v="247864"/>
        <n v="294448"/>
        <n v="315275"/>
        <n v="323122"/>
        <n v="179044"/>
        <n v="172150"/>
        <n v="117184"/>
        <n v="42217"/>
        <n v="43347"/>
        <n v="19815"/>
        <n v="23357"/>
        <n v="82507"/>
        <n v="129812"/>
        <n v="142122"/>
        <n v="168071"/>
        <n v="198034"/>
        <n v="133450"/>
        <n v="204495"/>
        <n v="223706"/>
        <n v="174325"/>
        <n v="30548"/>
        <n v="30684"/>
        <n v="64017"/>
        <n v="144136"/>
        <n v="80667"/>
        <n v="113331"/>
        <n v="142448"/>
        <n v="71339"/>
        <n v="172978"/>
        <n v="126929"/>
        <n v="99662"/>
        <n v="143147"/>
        <n v="66191.965760000006"/>
        <n v="57127.848789999996"/>
        <n v="101262.9525"/>
        <n v="154433.04889999999"/>
        <n v="117180.9354"/>
        <n v="105218.2144"/>
        <n v="231322.4161"/>
        <n v="228633.655"/>
        <n v="81676.405329999994"/>
        <n v="97747.030029999994"/>
        <n v="94913.481"/>
        <n v="175578.77350000001"/>
        <n v="32323.7359"/>
        <n v="42432.919560000002"/>
        <n v="74042.697379999998"/>
        <n v="100510.1672"/>
        <n v="169481.30660000001"/>
        <n v="282209.14939999999"/>
        <n v="162198.34289999999"/>
        <n v="86702.604059999998"/>
        <n v="97057.642999999996"/>
        <n v="162846.8345"/>
        <n v="112682.0384"/>
        <n v="167911.3799"/>
        <n v="62261.161509999998"/>
        <n v="133933.92009999999"/>
        <n v="130218.4417"/>
        <n v="39611.786209999998"/>
        <n v="250962.1771"/>
        <n v="210757.6778"/>
        <n v="318294.54350000003"/>
        <n v="307846.13669999997"/>
        <n v="202436.23910000001"/>
        <n v="269350.04430000001"/>
        <n v="197113.85699999999"/>
        <n v="292712.00349999999"/>
        <n v="51837.909659999998"/>
        <n v="63840.386140000002"/>
        <n v="36924.166169999997"/>
        <n v="134884.82370000001"/>
        <n v="126833.0514"/>
        <n v="201600.72440000001"/>
        <n v="273495.92950000003"/>
        <n v="160656.23689999999"/>
        <n v="114668.9486"/>
        <n v="136711.42259999999"/>
        <n v="140456.74890000001"/>
        <n v="97045.945370000001"/>
        <n v="29843.22825"/>
        <n v="33981.71286"/>
        <n v="71529.997610000006"/>
        <n v="142917.01569999999"/>
        <n v="139825.42449999999"/>
        <n v="200604.9117"/>
        <n v="305253.31199999998"/>
        <n v="171205.71859999999"/>
        <n v="142587.9872"/>
        <n v="97328.697650000002"/>
        <n v="78428.421499999997"/>
        <n v="139310.41690000001"/>
        <n v="50684.214099999997"/>
        <n v="94030.772750000004"/>
        <n v="84347.870670000004"/>
        <n v="190038.51579999999"/>
        <n v="249447.33840000001"/>
        <n v="235001.04089999999"/>
        <n v="223216.91380000001"/>
        <n v="209091.75599999999"/>
        <n v="175508.13190000001"/>
        <n v="124938.75380000001"/>
        <n v="220646.80309999999"/>
        <n v="132382.65330000001"/>
        <n v="36893.362630000003"/>
        <n v="62218.563719999998"/>
        <n v="98224.520619999996"/>
        <n v="190858.48639999999"/>
        <n v="205347.6727"/>
        <n v="177853.29680000001"/>
        <n v="123364.7497"/>
        <n v="119075.7908"/>
        <n v="161030.29860000001"/>
        <n v="80440.870299999995"/>
        <n v="105805.2616"/>
        <n v="59708.74596"/>
        <n v="22684.58065"/>
        <n v="40329.935219999999"/>
        <n v="58086.478309999999"/>
        <n v="82343.35183"/>
        <n v="126942.5851"/>
        <n v="138723.93780000001"/>
        <n v="35175.201459999997"/>
        <n v="74861.486309999993"/>
        <n v="41527.304909999999"/>
        <n v="27740.12343"/>
        <n v="24866.47191"/>
        <n v="41942.414340000003"/>
        <n v="16896.145649999999"/>
        <n v="75662.988830000002"/>
        <n v="72506.321379999994"/>
        <n v="119319.15850000001"/>
        <n v="171770.11790000001"/>
        <n v="71116.818119999996"/>
        <n v="93123.353669999997"/>
        <n v="196095.4051"/>
        <n v="70312.012400000007"/>
        <n v="96365.753899999996"/>
        <n v="80752.867230000003"/>
        <n v="93997.443209999998"/>
        <n v="54766.516000000003"/>
        <n v="18793.243999999999"/>
        <n v="34087.78"/>
        <n v="1677"/>
        <n v="1766"/>
        <n v="2359"/>
        <n v="1904"/>
        <n v="1901"/>
        <n v="2279"/>
        <n v="2470"/>
        <n v="1979"/>
        <n v="1790"/>
        <n v="2239"/>
        <n v="2250"/>
        <n v="1919"/>
        <n v="2697"/>
        <n v="3039"/>
        <n v="2355"/>
        <n v="2138"/>
        <n v="2263"/>
        <n v="2552"/>
        <n v="2987"/>
        <n v="2492"/>
        <n v="2831"/>
        <n v="3023"/>
        <n v="3032"/>
        <n v="2871"/>
        <n v="3228"/>
        <n v="2972"/>
        <n v="3101"/>
        <n v="3221"/>
        <n v="2740"/>
        <n v="2954"/>
        <n v="3506"/>
        <n v="3862"/>
        <n v="3416"/>
        <n v="3770"/>
        <n v="3015"/>
        <n v="3304"/>
        <n v="2979"/>
        <n v="2724"/>
        <n v="2866"/>
        <n v="3034"/>
        <n v="2670"/>
        <n v="2850"/>
        <n v="3115"/>
        <n v="2904"/>
        <n v="2778"/>
        <n v="2084"/>
        <n v="2357"/>
        <n v="2780"/>
        <n v="2367"/>
        <n v="2435"/>
        <n v="3642"/>
        <n v="3274"/>
        <n v="3943"/>
        <n v="3294"/>
        <n v="3552"/>
        <n v="3628"/>
        <n v="3086.0940799999998"/>
        <n v="3619.797458"/>
        <n v="3584.43768"/>
        <n v="2640.7588700000001"/>
        <n v="2724.1964379999999"/>
        <n v="3702.4394000000002"/>
        <n v="2926.6157250000001"/>
        <n v="3648.390054"/>
        <n v="3905.8576330000001"/>
        <n v="3140.0525520000001"/>
        <n v="2622.7434400000002"/>
        <n v="2226.2509639999998"/>
        <n v="353.73243339999999"/>
        <n v="327.52539730000001"/>
        <n v="318.10957739999998"/>
        <n v="242.1672456"/>
        <n v="329.5881622"/>
        <n v="335.98208290000002"/>
        <n v="755.48445249999997"/>
        <n v="894.06834049999998"/>
        <n v="456.13977460000001"/>
        <n v="291.72712749999999"/>
        <n v="288.96023769999999"/>
        <n v="377.42504059999999"/>
        <n v="349.9165845"/>
        <n v="508.71408250000002"/>
        <n v="1332.4547219999999"/>
        <n v="218.4737835"/>
        <n v="252.82935610000001"/>
        <n v="297.8356895"/>
        <n v="112.1177721"/>
        <n v="352.16006820000001"/>
        <n v="282.88492489999999"/>
        <n v="269.16105440000001"/>
        <n v="281.99577749999997"/>
        <n v="394.48548979999998"/>
        <n v="368.34145510000002"/>
        <n v="391.30728310000001"/>
        <n v="151.5976671"/>
        <n v="251.76050720000001"/>
        <n v="208.5275393"/>
        <n v="278.93066299999998"/>
        <n v="1247.969697"/>
        <n v="517.67053380000004"/>
        <n v="328.02166449999999"/>
        <n v="258.835399"/>
        <n v="304.48725139999999"/>
        <n v="235.58217300000001"/>
        <n v="389.73165449999999"/>
        <n v="214.1059654"/>
        <n v="262.34313470000001"/>
        <n v="190.46567519999999"/>
        <n v="287.50055470000001"/>
        <n v="282.4547786"/>
        <n v="457.95590970000001"/>
        <n v="295.34862229999999"/>
        <n v="315.3063861"/>
        <n v="399.80510679999998"/>
        <n v="464.98718580000002"/>
        <n v="721.11274449999996"/>
        <n v="277.54538250000002"/>
        <n v="355.83502850000002"/>
        <n v="388.5364093"/>
        <n v="201.03444500000001"/>
        <n v="234.10635379999999"/>
        <n v="262.54839179999999"/>
        <n v="409.26985719999999"/>
        <n v="587.11015540000005"/>
        <n v="481.91676630000001"/>
        <n v="569.08254999999997"/>
        <n v="479.0028696"/>
        <n v="166.9255331"/>
        <n v="153.0043392"/>
        <n v="255.4004204"/>
        <n v="251.9201956"/>
        <n v="211.03416999999999"/>
        <n v="258.47211679999998"/>
        <n v="236.74350240000001"/>
        <n v="302.57849859999999"/>
        <n v="287.17726979999998"/>
        <n v="341.0006166"/>
        <n v="252.44792409999999"/>
        <n v="327.08989630000002"/>
        <n v="158.82940110000001"/>
        <n v="223.90591599999999"/>
        <n v="223.89720399999999"/>
        <n v="223.00462709999999"/>
        <n v="202.80723860000001"/>
        <n v="232.04101439999999"/>
        <n v="181.46356460000001"/>
        <n v="172.94083560000001"/>
        <n v="266.7657878"/>
        <n v="172.7887905"/>
        <n v="255.39332820000001"/>
        <n v="278.21057139999999"/>
        <n v="250.72682"/>
        <n v="269.92668909999998"/>
        <n v="160.34520599999999"/>
        <n v="370.24746440000001"/>
        <n v="148.38046639999999"/>
        <n v="250.3542242"/>
        <n v="113.39948800000001"/>
        <n v="199.9615924"/>
        <n v="227.09598819999999"/>
        <n v="1597.396334"/>
        <n v="373.34586330000002"/>
        <n v="167.56446600000001"/>
        <n v="143.91450839999999"/>
        <n v="442.45166719999997"/>
        <n v="164.88490920000001"/>
        <n v="301.7620134"/>
      </sharedItems>
    </cacheField>
    <cacheField name="consumo_nacional_aparente" numFmtId="164">
      <sharedItems containsSemiMixedTypes="0" containsString="0" containsNumber="1" minValue="88394" maxValue="497382"/>
    </cacheField>
    <cacheField name="inventario_final" numFmtId="164">
      <sharedItems containsSemiMixedTypes="0" containsString="0" containsNumber="1" minValue="0" maxValue="3487793"/>
    </cacheField>
    <cacheField name="importaciones_fuera_arancel" numFmtId="164">
      <sharedItems containsString="0" containsBlank="1" containsNumber="1" minValue="0" maxValue="94244.837289999996"/>
    </cacheField>
    <cacheField name="importaciones_amparo_arancel" numFmtId="164">
      <sharedItems containsString="0" containsBlank="1" containsNumber="1" containsInteger="1" minValue="0" maxValue="121880"/>
    </cacheField>
    <cacheField name="ingenios" numFmtId="164">
      <sharedItems containsString="0" containsBlank="1" containsNumber="1" minValue="0" maxValue="319879"/>
    </cacheField>
    <cacheField name="estados_unidos" numFmtId="164">
      <sharedItems containsString="0" containsBlank="1" containsNumber="1" minValue="0" maxValue="254108.6728" count="170">
        <n v="47391"/>
        <n v="36997"/>
        <n v="34242"/>
        <n v="43996"/>
        <n v="77238"/>
        <n v="77629"/>
        <n v="93716"/>
        <n v="49402"/>
        <n v="33608"/>
        <n v="64865"/>
        <n v="65693"/>
        <n v="37544"/>
        <n v="93697"/>
        <n v="43592"/>
        <n v="71942"/>
        <n v="98484"/>
        <n v="125770"/>
        <n v="168978"/>
        <n v="175527"/>
        <n v="194798"/>
        <n v="174685"/>
        <n v="238257"/>
        <n v="246076"/>
        <n v="214563"/>
        <n v="232493"/>
        <n v="199452"/>
        <n v="121781"/>
        <n v="69131"/>
        <n v="152064"/>
        <n v="167108"/>
        <n v="196313"/>
        <n v="240766"/>
        <n v="110505"/>
        <n v="81306"/>
        <n v="71956"/>
        <n v="20261"/>
        <n v="17596"/>
        <n v="7822"/>
        <n v="11031"/>
        <n v="10761"/>
        <n v="111839"/>
        <n v="130905"/>
        <n v="117484"/>
        <n v="157768"/>
        <n v="121308"/>
        <n v="204483"/>
        <n v="212709"/>
        <n v="146050"/>
        <n v="30490"/>
        <n v="3655"/>
        <n v="64017"/>
        <n v="144136"/>
        <n v="80667"/>
        <n v="113330"/>
        <n v="142428"/>
        <n v="71319"/>
        <n v="172707"/>
        <n v="95903"/>
        <n v="89416.360220000002"/>
        <n v="98376"/>
        <n v="44257.016409999997"/>
        <n v="30345.01181"/>
        <n v="73205.691829999996"/>
        <n v="123866.6079"/>
        <n v="97563.462889999995"/>
        <n v="23409.584869999999"/>
        <n v="200289.81520000001"/>
        <n v="145985.34109999999"/>
        <n v="30125.241269999999"/>
        <n v="63116.812810000003"/>
        <n v="42356.586000000003"/>
        <n v="141226.73050000001"/>
        <n v="9150.6070209999998"/>
        <n v="18237.528539999999"/>
        <n v="45738.267480000002"/>
        <n v="87097.051000000007"/>
        <n v="152756.98970000001"/>
        <n v="254108.6728"/>
        <n v="144678.0956"/>
        <n v="53524.307500000003"/>
        <n v="54927.55"/>
        <n v="128883.8075"/>
        <n v="69209.788400000005"/>
        <n v="54752.769039999999"/>
        <n v="18398.931639999999"/>
        <n v="25518.088380000001"/>
        <n v="9693.5610799999995"/>
        <n v="11176.7479"/>
        <n v="159142.24230000001"/>
        <n v="139030.29300000001"/>
        <n v="110833.5947"/>
        <n v="76164.245800000004"/>
        <n v="68071.675099999993"/>
        <n v="83485.542619999993"/>
        <n v="81082.917400000006"/>
        <n v="49541.617789999997"/>
        <n v="15465.834000000001"/>
        <n v="26889.634600000001"/>
        <n v="10530.573200000001"/>
        <n v="109647.80710000001"/>
        <n v="98717.494659999997"/>
        <n v="169819.20749999999"/>
        <n v="243990.46859999999"/>
        <n v="135102.6894"/>
        <n v="86078.192739999999"/>
        <n v="107606.77469999999"/>
        <n v="111613.50750000001"/>
        <n v="60717.818180000002"/>
        <n v="3348.848"/>
        <n v="10768.518"/>
        <n v="13274.71536"/>
        <n v="104498.386"/>
        <n v="98834.139800000004"/>
        <n v="94188.811600000001"/>
        <n v="170795.6372"/>
        <n v="87900.196039999995"/>
        <n v="94979.410520000005"/>
        <n v="51202.830430000002"/>
        <n v="41103.383479999997"/>
        <n v="57039.623290000003"/>
        <n v="16136.575999999999"/>
        <n v="41337.620000000003"/>
        <n v="33043.383240000003"/>
        <n v="117446.3808"/>
        <n v="154038.67129999999"/>
        <n v="128781.4446"/>
        <n v="140411.77429999999"/>
        <n v="105392.7196"/>
        <n v="112814.00199999999"/>
        <n v="75612.58077"/>
        <n v="165208.67240000001"/>
        <n v="60003.065000000002"/>
        <n v="2281.056"/>
        <n v="27256.709500000001"/>
        <n v="64395.912779999999"/>
        <n v="161125.61499999999"/>
        <n v="177375.53649999999"/>
        <n v="136424.98819999999"/>
        <n v="89967.492679999996"/>
        <n v="83708.807480000003"/>
        <n v="130753.48609999999"/>
        <n v="52039.393559999997"/>
        <n v="68606.728080000001"/>
        <n v="21681.110120000001"/>
        <n v="0"/>
        <n v="18534.356"/>
        <n v="41301.569000000003"/>
        <n v="60200.031000000003"/>
        <n v="108911.605"/>
        <n v="105103.06299999999"/>
        <n v="12756.45"/>
        <n v="58886.837"/>
        <n v="17867.648000000001"/>
        <n v="9078.3790000000008"/>
        <n v="5917.8648499999999"/>
        <n v="11452.031999999999"/>
        <n v="17301.168000000001"/>
        <n v="36350.714999999997"/>
        <n v="71487.399799999999"/>
        <n v="38217.398000000001"/>
        <n v="57068.272799999999"/>
        <n v="112447.88099999999"/>
        <n v="16722.616999999998"/>
        <n v="37440.658920000002"/>
        <n v="14814.484710000001"/>
        <n v="14576.452730000001"/>
        <n v="37846.589999999997"/>
        <n v="9531.0319999999992"/>
        <n v="20015.397000000001"/>
        <m/>
      </sharedItems>
    </cacheField>
    <cacheField name="resto_mundo" numFmtId="164">
      <sharedItems containsString="0" containsBlank="1" containsNumber="1" minValue="0" maxValue="185961.18350000001" count="124">
        <n v="0"/>
        <n v="20"/>
        <n v="41"/>
        <n v="81"/>
        <n v="2938"/>
        <n v="31497"/>
        <n v="17325"/>
        <n v="22077"/>
        <n v="21330"/>
        <n v="39413"/>
        <n v="12283"/>
        <n v="4577"/>
        <n v="13001"/>
        <n v="42046"/>
        <n v="81597"/>
        <n v="44964"/>
        <n v="68098"/>
        <n v="110430"/>
        <n v="103516"/>
        <n v="63378"/>
        <n v="48729"/>
        <n v="65602"/>
        <n v="24217"/>
        <n v="4802"/>
        <n v="26"/>
        <n v="60000"/>
        <n v="22"/>
        <n v="39160"/>
        <n v="32082"/>
        <n v="1"/>
        <n v="250"/>
        <n v="31020"/>
        <n v="10246"/>
        <n v="44459"/>
        <n v="2148.2040000000002"/>
        <n v="5717.5540000000001"/>
        <n v="1917"/>
        <n v="8578.6380000000008"/>
        <n v="3187.8539999999998"/>
        <n v="53799.353999999999"/>
        <n v="5160.5929999999998"/>
        <n v="48611.402000000002"/>
        <n v="23066.472000000002"/>
        <n v="2422.252"/>
        <n v="300.173"/>
        <n v="64.638000000000005"/>
        <n v="235.19200000000001"/>
        <n v="250.554"/>
        <n v="253.52699999999999"/>
        <n v="43.091999999999999"/>
        <n v="85.277000000000001"/>
        <n v="171.23400000000001"/>
        <n v="214.32599999999999"/>
        <n v="256.51100000000002"/>
        <n v="43.319200000000002"/>
        <n v="15021.519"/>
        <n v="30171.234199999999"/>
        <n v="89634.319000000003"/>
        <n v="96550.519199999995"/>
        <n v="9173.9573999999993"/>
        <n v="61715"/>
        <n v="38623.637999999999"/>
        <n v="179261"/>
        <n v="185961.18350000001"/>
        <n v="103914.8165"/>
        <n v="140671.6384"/>
        <n v="80166.768400000001"/>
        <n v="165656.6384"/>
        <n v="7985.5528000000004"/>
        <n v="18052.915199999999"/>
        <n v="2621.9701599999999"/>
        <n v="373.19200000000001"/>
        <n v="514.01599999999996"/>
        <n v="594.51120000000003"/>
        <n v="292.07740000000001"/>
        <n v="82.555199999999999"/>
        <n v="120"/>
        <n v="530.47040000000004"/>
        <n v="31859.824400000001"/>
        <n v="1280"/>
        <n v="3402.6383999999998"/>
        <n v="63780"/>
        <n v="98194.707999999999"/>
        <n v="46228.278400000003"/>
        <n v="2202.884"/>
        <n v="3425.9344000000001"/>
        <n v="2870.8240000000001"/>
        <n v="16976.3776"/>
        <n v="3976.5920000000001"/>
        <n v="18623.295999999998"/>
        <n v="9268.5727999999999"/>
        <n v="37485.193599999999"/>
        <n v="57109.336799999997"/>
        <n v="59202.324000000001"/>
        <n v="39456.789599999996"/>
        <n v="64913.171999999999"/>
        <n v="18090.7624"/>
        <n v="11131.752"/>
        <n v="2180.0320000000002"/>
        <n v="5822.6059999999998"/>
        <n v="467.74880000000002"/>
        <n v="1060.6079999999999"/>
        <n v="622.03200000000004"/>
        <n v="848.57280000000003"/>
        <n v="826.67039999999997"/>
        <n v="9482.06"/>
        <n v="1046.0727999999999"/>
        <n v="1085.6468"/>
        <n v="5000"/>
        <n v="59065.11"/>
        <n v="37049.35"/>
        <n v="65700"/>
        <n v="73040"/>
        <n v="10000"/>
        <n v="6061.26"/>
        <n v="55648.88"/>
        <n v="34576.5"/>
        <n v="33094.75"/>
        <n v="12987.4"/>
        <n v="32554.799999999999"/>
        <n v="2820.4259999999999"/>
        <n v="6286.6"/>
        <n v="1080"/>
        <m/>
      </sharedItems>
    </cacheField>
    <cacheField name="ventas_immex" numFmtId="164">
      <sharedItems containsString="0" containsBlank="1" containsNumber="1" minValue="2776.5" maxValue="97740.832880000002"/>
    </cacheField>
    <cacheField name="otras_empresas" numFmtId="164">
      <sharedItems containsString="0" containsBlank="1" containsNumber="1" minValue="0" maxValue="20284"/>
    </cacheField>
    <cacheField name="estados_unidos_otras_empresas" numFmtId="164">
      <sharedItems containsString="0" containsBlank="1" containsNumber="1" minValue="0" maxValue="20258"/>
    </cacheField>
    <cacheField name="resto_mundo_otras_empresas" numFmtId="164">
      <sharedItems containsString="0" containsBlank="1" containsNumber="1" minValue="0" maxValue="60000"/>
    </cacheField>
    <cacheField name="ventas_domesticas_ingenios" numFmtId="164">
      <sharedItems containsString="0" containsBlank="1" containsNumber="1" minValue="173417.83009999999" maxValue="487309"/>
    </cacheField>
    <cacheField name="Importaciones" numFmtId="0" formula="importaciones_totales/(importaciones_totales+exportaciones_totales)" databaseField="0"/>
    <cacheField name="Exportaciones" numFmtId="0" formula="exportaciones_totales/(importaciones_totales+exportaciones_totales)" databaseField="0"/>
  </cacheFields>
  <extLst>
    <ext xmlns:x14="http://schemas.microsoft.com/office/spreadsheetml/2009/9/main" uri="{725AE2AE-9491-48be-B2B4-4EB974FC3084}">
      <x14:pivotCacheDefinition pivotCacheId="8977697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x v="0"/>
    <n v="10"/>
    <x v="0"/>
    <x v="0"/>
    <n v="778599"/>
    <n v="759906"/>
    <n v="0"/>
    <x v="0"/>
    <n v="347299"/>
    <x v="0"/>
    <n v="271597"/>
    <n v="431301"/>
    <n v="2278"/>
    <n v="16416"/>
    <n v="59796"/>
    <x v="0"/>
    <x v="0"/>
    <n v="12405"/>
    <n v="15905"/>
    <n v="15897"/>
    <n v="8"/>
    <n v="252903"/>
  </r>
  <r>
    <x v="0"/>
    <n v="11"/>
    <x v="1"/>
    <x v="0"/>
    <n v="588662"/>
    <n v="431301"/>
    <n v="116495"/>
    <x v="1"/>
    <n v="351401"/>
    <x v="1"/>
    <n v="297612"/>
    <n v="237260"/>
    <n v="1947"/>
    <n v="38920"/>
    <n v="42562"/>
    <x v="1"/>
    <x v="0"/>
    <n v="5565"/>
    <n v="11228"/>
    <n v="11197"/>
    <n v="31"/>
    <n v="256746"/>
  </r>
  <r>
    <x v="0"/>
    <n v="12"/>
    <x v="2"/>
    <x v="0"/>
    <n v="911648"/>
    <n v="237260"/>
    <n v="635149"/>
    <x v="2"/>
    <n v="410474"/>
    <x v="2"/>
    <n v="360387"/>
    <n v="501174"/>
    <n v="5078"/>
    <n v="34160"/>
    <n v="38464"/>
    <x v="2"/>
    <x v="0"/>
    <n v="4222"/>
    <n v="11623"/>
    <n v="11615"/>
    <n v="8"/>
    <n v="321149"/>
  </r>
  <r>
    <x v="1"/>
    <n v="1"/>
    <x v="3"/>
    <x v="0"/>
    <n v="1565519"/>
    <n v="501174"/>
    <n v="940295"/>
    <x v="3"/>
    <n v="524688"/>
    <x v="3"/>
    <n v="462403"/>
    <n v="1040831"/>
    <n v="2169"/>
    <n v="121880"/>
    <n v="49996"/>
    <x v="3"/>
    <x v="0"/>
    <n v="6000"/>
    <n v="12289"/>
    <n v="12287"/>
    <n v="2"/>
    <n v="338354"/>
  </r>
  <r>
    <x v="1"/>
    <n v="2"/>
    <x v="4"/>
    <x v="0"/>
    <n v="1909042"/>
    <n v="1040831"/>
    <n v="866462"/>
    <x v="4"/>
    <n v="427001"/>
    <x v="4"/>
    <n v="323517"/>
    <n v="1482042"/>
    <n v="1749"/>
    <n v="0"/>
    <n v="89122"/>
    <x v="4"/>
    <x v="0"/>
    <n v="11884"/>
    <n v="14362"/>
    <n v="14349"/>
    <n v="12"/>
    <n v="321768"/>
  </r>
  <r>
    <x v="1"/>
    <n v="3"/>
    <x v="5"/>
    <x v="0"/>
    <n v="2594066"/>
    <n v="1482042"/>
    <n v="1109993"/>
    <x v="5"/>
    <n v="467370"/>
    <x v="5"/>
    <n v="365198"/>
    <n v="2126697"/>
    <n v="2032"/>
    <n v="0"/>
    <n v="84150"/>
    <x v="5"/>
    <x v="0"/>
    <n v="6520"/>
    <n v="18022"/>
    <n v="18004"/>
    <n v="18"/>
    <n v="363166"/>
  </r>
  <r>
    <x v="1"/>
    <n v="4"/>
    <x v="6"/>
    <x v="0"/>
    <n v="2952512"/>
    <n v="2126697"/>
    <n v="824176"/>
    <x v="6"/>
    <n v="482335"/>
    <x v="6"/>
    <n v="365571"/>
    <n v="2470176"/>
    <n v="1639"/>
    <n v="0"/>
    <n v="102291"/>
    <x v="6"/>
    <x v="0"/>
    <n v="8575"/>
    <n v="14474"/>
    <n v="14452"/>
    <n v="21"/>
    <n v="363932"/>
  </r>
  <r>
    <x v="1"/>
    <n v="5"/>
    <x v="7"/>
    <x v="0"/>
    <n v="2935583"/>
    <n v="2470176"/>
    <n v="464250"/>
    <x v="7"/>
    <n v="418453"/>
    <x v="7"/>
    <n v="338344"/>
    <n v="2517130"/>
    <n v="1157"/>
    <n v="0"/>
    <n v="59825"/>
    <x v="7"/>
    <x v="0"/>
    <n v="10423"/>
    <n v="20284"/>
    <n v="20258"/>
    <n v="26"/>
    <n v="337187"/>
  </r>
  <r>
    <x v="1"/>
    <n v="6"/>
    <x v="8"/>
    <x v="0"/>
    <n v="2610284"/>
    <n v="2517130"/>
    <n v="91649"/>
    <x v="8"/>
    <n v="414042"/>
    <x v="8"/>
    <n v="357074"/>
    <n v="2196243"/>
    <n v="1506"/>
    <n v="0"/>
    <n v="40618"/>
    <x v="8"/>
    <x v="0"/>
    <n v="7010"/>
    <n v="16350"/>
    <n v="16319"/>
    <n v="31"/>
    <n v="355568"/>
  </r>
  <r>
    <x v="1"/>
    <n v="7"/>
    <x v="9"/>
    <x v="0"/>
    <n v="2197866"/>
    <n v="2196243"/>
    <n v="0"/>
    <x v="9"/>
    <n v="432887"/>
    <x v="9"/>
    <n v="342697"/>
    <n v="1764978"/>
    <n v="1623"/>
    <n v="0"/>
    <n v="76264"/>
    <x v="9"/>
    <x v="0"/>
    <n v="11399"/>
    <n v="13927"/>
    <n v="13920"/>
    <n v="7"/>
    <n v="341074"/>
  </r>
  <r>
    <x v="1"/>
    <n v="8"/>
    <x v="10"/>
    <x v="0"/>
    <n v="1767002"/>
    <n v="1764978"/>
    <n v="0"/>
    <x v="10"/>
    <n v="438088"/>
    <x v="10"/>
    <n v="350491"/>
    <n v="1328914"/>
    <n v="2024"/>
    <n v="0"/>
    <n v="72850"/>
    <x v="10"/>
    <x v="0"/>
    <n v="7156"/>
    <n v="14746"/>
    <n v="14736"/>
    <n v="11"/>
    <n v="348468"/>
  </r>
  <r>
    <x v="1"/>
    <n v="9"/>
    <x v="11"/>
    <x v="0"/>
    <n v="1330799"/>
    <n v="1328914"/>
    <n v="0"/>
    <x v="11"/>
    <n v="365206"/>
    <x v="11"/>
    <n v="303207"/>
    <n v="965593"/>
    <n v="1884"/>
    <n v="0"/>
    <n v="50608"/>
    <x v="11"/>
    <x v="0"/>
    <n v="13064"/>
    <n v="11391"/>
    <n v="11348"/>
    <n v="43"/>
    <n v="301322"/>
  </r>
  <r>
    <x v="1"/>
    <n v="10"/>
    <x v="0"/>
    <x v="0"/>
    <n v="981514"/>
    <n v="965593"/>
    <n v="14144"/>
    <x v="12"/>
    <n v="430408"/>
    <x v="12"/>
    <n v="319585"/>
    <n v="551106"/>
    <n v="1777"/>
    <n v="0"/>
    <n v="105512"/>
    <x v="12"/>
    <x v="1"/>
    <n v="11794"/>
    <n v="5311"/>
    <n v="5278"/>
    <n v="33"/>
    <n v="317808"/>
  </r>
  <r>
    <x v="1"/>
    <n v="11"/>
    <x v="1"/>
    <x v="0"/>
    <n v="876885"/>
    <n v="551106"/>
    <n v="324108"/>
    <x v="13"/>
    <n v="339200"/>
    <x v="13"/>
    <n v="280817"/>
    <n v="537684"/>
    <n v="1671"/>
    <n v="0"/>
    <n v="55559"/>
    <x v="13"/>
    <x v="0"/>
    <n v="11967"/>
    <n v="2825"/>
    <n v="2775"/>
    <n v="50"/>
    <n v="279146"/>
  </r>
  <r>
    <x v="1"/>
    <n v="12"/>
    <x v="2"/>
    <x v="0"/>
    <n v="1419589"/>
    <n v="537684"/>
    <n v="881035"/>
    <x v="14"/>
    <n v="399748"/>
    <x v="14"/>
    <n v="318543"/>
    <n v="1019841"/>
    <n v="870"/>
    <n v="0"/>
    <n v="78984"/>
    <x v="14"/>
    <x v="2"/>
    <n v="7001"/>
    <n v="2221"/>
    <n v="2194"/>
    <n v="27"/>
    <n v="317673"/>
  </r>
  <r>
    <x v="2"/>
    <n v="1"/>
    <x v="3"/>
    <x v="0"/>
    <n v="2094714"/>
    <n v="1019841"/>
    <n v="1074470"/>
    <x v="15"/>
    <n v="554357"/>
    <x v="15"/>
    <n v="439603"/>
    <n v="1540357"/>
    <n v="403"/>
    <n v="0"/>
    <n v="110050"/>
    <x v="15"/>
    <x v="3"/>
    <n v="11484"/>
    <n v="4703"/>
    <n v="4676"/>
    <n v="28"/>
    <n v="439200"/>
  </r>
  <r>
    <x v="2"/>
    <n v="2"/>
    <x v="4"/>
    <x v="0"/>
    <n v="2647435"/>
    <n v="1540357"/>
    <n v="1106582"/>
    <x v="16"/>
    <n v="489335"/>
    <x v="16"/>
    <n v="344373"/>
    <n v="2158100"/>
    <n v="496"/>
    <n v="0"/>
    <n v="138222"/>
    <x v="16"/>
    <x v="4"/>
    <n v="9514"/>
    <n v="6740"/>
    <n v="6705"/>
    <n v="35"/>
    <n v="343877"/>
  </r>
  <r>
    <x v="2"/>
    <n v="3"/>
    <x v="5"/>
    <x v="0"/>
    <n v="3373345"/>
    <n v="2158100"/>
    <n v="1214916"/>
    <x v="17"/>
    <n v="565148"/>
    <x v="17"/>
    <n v="348989"/>
    <n v="2808198"/>
    <n v="329"/>
    <n v="0"/>
    <n v="214594"/>
    <x v="17"/>
    <x v="5"/>
    <n v="14119"/>
    <n v="1565"/>
    <n v="1508"/>
    <n v="58"/>
    <n v="348660"/>
  </r>
  <r>
    <x v="2"/>
    <n v="4"/>
    <x v="6"/>
    <x v="0"/>
    <n v="3950914"/>
    <n v="2808198"/>
    <n v="1142245"/>
    <x v="18"/>
    <n v="687849"/>
    <x v="18"/>
    <n v="474690"/>
    <n v="3263065"/>
    <n v="472"/>
    <n v="0"/>
    <n v="210015"/>
    <x v="18"/>
    <x v="6"/>
    <n v="17163"/>
    <n v="3144"/>
    <n v="3114"/>
    <n v="31"/>
    <n v="474218"/>
  </r>
  <r>
    <x v="2"/>
    <n v="5"/>
    <x v="7"/>
    <x v="0"/>
    <n v="4198057"/>
    <n v="3263065"/>
    <n v="934422"/>
    <x v="19"/>
    <n v="710263"/>
    <x v="19"/>
    <n v="472124"/>
    <n v="3487793"/>
    <n v="570"/>
    <n v="0"/>
    <n v="237043"/>
    <x v="19"/>
    <x v="7"/>
    <n v="20168"/>
    <n v="1097"/>
    <n v="1083"/>
    <n v="14"/>
    <n v="471553"/>
  </r>
  <r>
    <x v="2"/>
    <n v="6"/>
    <x v="8"/>
    <x v="0"/>
    <n v="3755734"/>
    <n v="3487793"/>
    <n v="267198"/>
    <x v="20"/>
    <n v="557149"/>
    <x v="20"/>
    <n v="344391"/>
    <n v="3198585"/>
    <n v="743"/>
    <n v="0"/>
    <n v="211214"/>
    <x v="20"/>
    <x v="8"/>
    <n v="15199"/>
    <n v="1544"/>
    <n v="1516"/>
    <n v="28"/>
    <n v="343648"/>
  </r>
  <r>
    <x v="2"/>
    <n v="7"/>
    <x v="9"/>
    <x v="0"/>
    <n v="3214693"/>
    <n v="3198585"/>
    <n v="15679"/>
    <x v="21"/>
    <n v="533787"/>
    <x v="21"/>
    <n v="237502"/>
    <n v="2680906"/>
    <n v="429"/>
    <n v="0"/>
    <n v="294792"/>
    <x v="21"/>
    <x v="9"/>
    <n v="17123"/>
    <n v="1492"/>
    <n v="818"/>
    <n v="675"/>
    <n v="237073"/>
  </r>
  <r>
    <x v="2"/>
    <n v="8"/>
    <x v="10"/>
    <x v="0"/>
    <n v="2681825"/>
    <n v="2680906"/>
    <n v="0"/>
    <x v="22"/>
    <n v="693163"/>
    <x v="22"/>
    <n v="417287"/>
    <n v="1988662"/>
    <n v="919"/>
    <n v="0"/>
    <n v="273207"/>
    <x v="22"/>
    <x v="10"/>
    <n v="14848"/>
    <n v="2669"/>
    <n v="2099"/>
    <n v="571"/>
    <n v="416368"/>
  </r>
  <r>
    <x v="2"/>
    <n v="9"/>
    <x v="11"/>
    <x v="0"/>
    <n v="1989359"/>
    <n v="1988662"/>
    <n v="0"/>
    <x v="23"/>
    <n v="529016"/>
    <x v="23"/>
    <n v="288963"/>
    <n v="1460343"/>
    <n v="698"/>
    <n v="0"/>
    <n v="236469"/>
    <x v="23"/>
    <x v="11"/>
    <n v="17328"/>
    <n v="3583"/>
    <n v="2016"/>
    <n v="1568"/>
    <n v="288266"/>
  </r>
  <r>
    <x v="2"/>
    <n v="10"/>
    <x v="0"/>
    <x v="0"/>
    <n v="1460889"/>
    <n v="1460343"/>
    <n v="0"/>
    <x v="24"/>
    <n v="576029"/>
    <x v="24"/>
    <n v="307721"/>
    <n v="884860"/>
    <n v="546"/>
    <n v="0"/>
    <n v="257017"/>
    <x v="24"/>
    <x v="12"/>
    <n v="11524"/>
    <n v="11290"/>
    <n v="11272"/>
    <n v="18"/>
    <n v="307176"/>
  </r>
  <r>
    <x v="2"/>
    <n v="11"/>
    <x v="1"/>
    <x v="0"/>
    <n v="1017099"/>
    <n v="884860"/>
    <n v="131690"/>
    <x v="25"/>
    <n v="460534"/>
    <x v="25"/>
    <n v="201607"/>
    <n v="556566"/>
    <n v="549"/>
    <n v="0"/>
    <n v="256605"/>
    <x v="25"/>
    <x v="13"/>
    <n v="15106"/>
    <n v="2322"/>
    <n v="2279"/>
    <n v="43"/>
    <n v="201058"/>
  </r>
  <r>
    <x v="2"/>
    <n v="12"/>
    <x v="2"/>
    <x v="0"/>
    <n v="1248711"/>
    <n v="556566"/>
    <n v="691393"/>
    <x v="26"/>
    <n v="561943"/>
    <x v="26"/>
    <n v="344836"/>
    <n v="686768"/>
    <n v="752"/>
    <n v="0"/>
    <n v="211302"/>
    <x v="26"/>
    <x v="14"/>
    <n v="7925"/>
    <n v="5805"/>
    <n v="5437"/>
    <n v="368"/>
    <n v="344084"/>
  </r>
  <r>
    <x v="3"/>
    <n v="1"/>
    <x v="3"/>
    <x v="0"/>
    <n v="1622687"/>
    <n v="686768"/>
    <n v="934541"/>
    <x v="27"/>
    <n v="605327"/>
    <x v="27"/>
    <n v="479854"/>
    <n v="1017360"/>
    <n v="1378"/>
    <n v="0"/>
    <n v="121248"/>
    <x v="27"/>
    <x v="15"/>
    <n v="7153"/>
    <n v="4225"/>
    <n v="4186"/>
    <n v="39"/>
    <n v="478475"/>
  </r>
  <r>
    <x v="3"/>
    <n v="2"/>
    <x v="4"/>
    <x v="0"/>
    <n v="2062835"/>
    <n v="1017360"/>
    <n v="1045014"/>
    <x v="28"/>
    <n v="560567"/>
    <x v="28"/>
    <n v="312702"/>
    <n v="1502268"/>
    <n v="461"/>
    <n v="0"/>
    <n v="236336"/>
    <x v="28"/>
    <x v="16"/>
    <n v="16175"/>
    <n v="11528"/>
    <n v="11480"/>
    <n v="48"/>
    <n v="312241"/>
  </r>
  <r>
    <x v="3"/>
    <n v="3"/>
    <x v="5"/>
    <x v="0"/>
    <n v="2697289"/>
    <n v="1502268"/>
    <n v="1194477"/>
    <x v="29"/>
    <n v="674890"/>
    <x v="29"/>
    <n v="380443"/>
    <n v="2022398"/>
    <n v="544"/>
    <n v="0"/>
    <n v="292969"/>
    <x v="29"/>
    <x v="17"/>
    <n v="15431"/>
    <n v="1479"/>
    <n v="1457"/>
    <n v="22"/>
    <n v="379899"/>
  </r>
  <r>
    <x v="3"/>
    <n v="4"/>
    <x v="6"/>
    <x v="0"/>
    <n v="3102913"/>
    <n v="2022398"/>
    <n v="1080052"/>
    <x v="30"/>
    <n v="743840"/>
    <x v="30"/>
    <n v="428565"/>
    <n v="2359073"/>
    <n v="463"/>
    <n v="0"/>
    <n v="313439"/>
    <x v="30"/>
    <x v="18"/>
    <n v="13610"/>
    <n v="1836"/>
    <n v="1824"/>
    <n v="13"/>
    <n v="428101"/>
  </r>
  <r>
    <x v="3"/>
    <n v="5"/>
    <x v="7"/>
    <x v="0"/>
    <n v="3096768"/>
    <n v="2359073"/>
    <n v="737115"/>
    <x v="31"/>
    <n v="710001"/>
    <x v="31"/>
    <n v="386879"/>
    <n v="2386767"/>
    <n v="580"/>
    <n v="0"/>
    <n v="319879"/>
    <x v="31"/>
    <x v="19"/>
    <n v="15735"/>
    <n v="3243"/>
    <n v="3079"/>
    <n v="164"/>
    <n v="386299"/>
  </r>
  <r>
    <x v="3"/>
    <n v="6"/>
    <x v="8"/>
    <x v="0"/>
    <n v="2584921"/>
    <n v="2386767"/>
    <n v="196811"/>
    <x v="32"/>
    <n v="484749"/>
    <x v="32"/>
    <n v="305705"/>
    <n v="2100172"/>
    <n v="1343"/>
    <n v="0"/>
    <n v="173027"/>
    <x v="32"/>
    <x v="20"/>
    <n v="13793"/>
    <n v="6017"/>
    <n v="5967"/>
    <n v="50"/>
    <n v="304362"/>
  </r>
  <r>
    <x v="3"/>
    <n v="7"/>
    <x v="9"/>
    <x v="0"/>
    <n v="2110885"/>
    <n v="2100172"/>
    <n v="10200"/>
    <x v="33"/>
    <n v="501042"/>
    <x v="33"/>
    <n v="328892"/>
    <n v="1609843"/>
    <n v="513"/>
    <n v="0"/>
    <n v="166010"/>
    <x v="33"/>
    <x v="21"/>
    <n v="19103"/>
    <n v="6141"/>
    <n v="6063"/>
    <n v="78"/>
    <n v="328378"/>
  </r>
  <r>
    <x v="3"/>
    <n v="8"/>
    <x v="10"/>
    <x v="0"/>
    <n v="1610457"/>
    <n v="1609843"/>
    <n v="0"/>
    <x v="34"/>
    <n v="415801"/>
    <x v="34"/>
    <n v="298617"/>
    <n v="1194655"/>
    <n v="614"/>
    <n v="0"/>
    <n v="112442"/>
    <x v="34"/>
    <x v="22"/>
    <n v="16269"/>
    <n v="4741"/>
    <n v="4632"/>
    <n v="109"/>
    <n v="298003"/>
  </r>
  <r>
    <x v="3"/>
    <n v="9"/>
    <x v="11"/>
    <x v="0"/>
    <n v="1195612"/>
    <n v="1194655"/>
    <n v="0"/>
    <x v="35"/>
    <n v="364468"/>
    <x v="35"/>
    <n v="322251"/>
    <n v="831144"/>
    <n v="957"/>
    <n v="0"/>
    <n v="35772"/>
    <x v="35"/>
    <x v="23"/>
    <n v="10709"/>
    <n v="6445"/>
    <n v="42"/>
    <n v="4802"/>
    <n v="321294"/>
  </r>
  <r>
    <x v="3"/>
    <n v="10"/>
    <x v="0"/>
    <x v="0"/>
    <n v="835214"/>
    <n v="831144"/>
    <n v="3128"/>
    <x v="36"/>
    <n v="373608"/>
    <x v="36"/>
    <n v="330261"/>
    <n v="461606"/>
    <n v="942"/>
    <n v="0"/>
    <n v="35243"/>
    <x v="36"/>
    <x v="24"/>
    <n v="17621"/>
    <n v="8104"/>
    <n v="37"/>
    <n v="26"/>
    <n v="329319"/>
  </r>
  <r>
    <x v="3"/>
    <n v="11"/>
    <x v="1"/>
    <x v="0"/>
    <n v="690351"/>
    <n v="461606"/>
    <n v="227800"/>
    <x v="37"/>
    <n v="283991"/>
    <x v="37"/>
    <n v="264176"/>
    <n v="406360"/>
    <n v="945"/>
    <n v="0"/>
    <n v="16417"/>
    <x v="37"/>
    <x v="0"/>
    <n v="8595"/>
    <n v="3398"/>
    <n v="25"/>
    <n v="0"/>
    <n v="263231"/>
  </r>
  <r>
    <x v="3"/>
    <n v="12"/>
    <x v="2"/>
    <x v="0"/>
    <n v="1220366"/>
    <n v="406360"/>
    <n v="812879"/>
    <x v="38"/>
    <n v="479689"/>
    <x v="38"/>
    <n v="456332"/>
    <n v="740677"/>
    <n v="1126"/>
    <n v="0"/>
    <n v="20875"/>
    <x v="38"/>
    <x v="0"/>
    <n v="9844"/>
    <n v="2483"/>
    <n v="25"/>
    <n v="0"/>
    <n v="455205"/>
  </r>
  <r>
    <x v="4"/>
    <n v="1"/>
    <x v="3"/>
    <x v="0"/>
    <n v="1710477"/>
    <n v="740677"/>
    <n v="969617"/>
    <x v="39"/>
    <n v="464393"/>
    <x v="39"/>
    <n v="381886"/>
    <n v="1246084"/>
    <n v="183"/>
    <n v="0"/>
    <n v="79230"/>
    <x v="39"/>
    <x v="25"/>
    <n v="8469"/>
    <n v="3277"/>
    <n v="50"/>
    <n v="60000"/>
    <n v="381703"/>
  </r>
  <r>
    <x v="4"/>
    <n v="2"/>
    <x v="4"/>
    <x v="0"/>
    <n v="2278793"/>
    <n v="1246084"/>
    <n v="1032501"/>
    <x v="40"/>
    <n v="601824"/>
    <x v="40"/>
    <n v="472012"/>
    <n v="1676969"/>
    <n v="208"/>
    <n v="0"/>
    <n v="123870"/>
    <x v="40"/>
    <x v="0"/>
    <n v="12031"/>
    <n v="5943"/>
    <n v="3"/>
    <n v="0"/>
    <n v="471804"/>
  </r>
  <r>
    <x v="4"/>
    <n v="3"/>
    <x v="5"/>
    <x v="0"/>
    <n v="2678934"/>
    <n v="1676969"/>
    <n v="1001371"/>
    <x v="41"/>
    <n v="589362"/>
    <x v="41"/>
    <n v="447240"/>
    <n v="2089573"/>
    <n v="595"/>
    <n v="0"/>
    <n v="142045"/>
    <x v="41"/>
    <x v="26"/>
    <n v="11118"/>
    <n v="77"/>
    <n v="25"/>
    <n v="22"/>
    <n v="446645"/>
  </r>
  <r>
    <x v="4"/>
    <n v="4"/>
    <x v="6"/>
    <x v="0"/>
    <n v="3088043"/>
    <n v="2089573"/>
    <n v="998006"/>
    <x v="42"/>
    <n v="616566"/>
    <x v="42"/>
    <n v="448495"/>
    <n v="2471477"/>
    <n v="464"/>
    <n v="0"/>
    <n v="168001"/>
    <x v="42"/>
    <x v="27"/>
    <n v="11358"/>
    <n v="70"/>
    <n v="0"/>
    <n v="39160"/>
    <n v="448030"/>
  </r>
  <r>
    <x v="4"/>
    <n v="5"/>
    <x v="7"/>
    <x v="0"/>
    <n v="3189651"/>
    <n v="2471477"/>
    <n v="717684"/>
    <x v="43"/>
    <n v="599512"/>
    <x v="43"/>
    <n v="401478"/>
    <n v="2590139"/>
    <n v="489"/>
    <n v="0"/>
    <n v="198032"/>
    <x v="43"/>
    <x v="28"/>
    <n v="8182"/>
    <n v="2"/>
    <n v="2"/>
    <n v="32082"/>
    <n v="400989"/>
  </r>
  <r>
    <x v="4"/>
    <n v="6"/>
    <x v="8"/>
    <x v="0"/>
    <n v="2796715"/>
    <n v="2590139"/>
    <n v="206105"/>
    <x v="18"/>
    <n v="560580"/>
    <x v="44"/>
    <n v="427130"/>
    <n v="2236136"/>
    <n v="472"/>
    <n v="0"/>
    <n v="133443"/>
    <x v="44"/>
    <x v="0"/>
    <n v="12134"/>
    <n v="7"/>
    <n v="7"/>
    <n v="0"/>
    <n v="426658"/>
  </r>
  <r>
    <x v="4"/>
    <n v="7"/>
    <x v="9"/>
    <x v="0"/>
    <n v="2252167"/>
    <n v="2236136"/>
    <n v="14656"/>
    <x v="44"/>
    <n v="469180"/>
    <x v="45"/>
    <n v="254729"/>
    <n v="1782987"/>
    <n v="1375"/>
    <n v="0"/>
    <n v="204483"/>
    <x v="45"/>
    <x v="0"/>
    <n v="9956"/>
    <n v="12"/>
    <n v="12"/>
    <n v="0"/>
    <n v="252239"/>
  </r>
  <r>
    <x v="4"/>
    <n v="8"/>
    <x v="10"/>
    <x v="0"/>
    <n v="1783405"/>
    <n v="1782987"/>
    <n v="0"/>
    <x v="45"/>
    <n v="512460"/>
    <x v="46"/>
    <n v="288754"/>
    <n v="1270945"/>
    <n v="418"/>
    <n v="0"/>
    <n v="223705"/>
    <x v="46"/>
    <x v="0"/>
    <n v="10996"/>
    <n v="1"/>
    <n v="0"/>
    <n v="1"/>
    <n v="288336"/>
  </r>
  <r>
    <x v="4"/>
    <n v="9"/>
    <x v="11"/>
    <x v="0"/>
    <n v="1271247"/>
    <n v="1270945"/>
    <n v="0"/>
    <x v="46"/>
    <n v="460538"/>
    <x v="47"/>
    <n v="286213"/>
    <n v="810709"/>
    <n v="302"/>
    <n v="0"/>
    <n v="174324.72"/>
    <x v="47"/>
    <x v="0"/>
    <n v="28274"/>
    <n v="0"/>
    <n v="0"/>
    <n v="0"/>
    <n v="285912"/>
  </r>
  <r>
    <x v="4"/>
    <n v="10"/>
    <x v="0"/>
    <x v="0"/>
    <n v="811528"/>
    <n v="810709"/>
    <n v="455"/>
    <x v="47"/>
    <n v="358402"/>
    <x v="48"/>
    <n v="320754"/>
    <n v="453126"/>
    <n v="364"/>
    <n v="0"/>
    <n v="37590"/>
    <x v="48"/>
    <x v="0"/>
    <n v="7100"/>
    <n v="58"/>
    <n v="58"/>
    <n v="0"/>
    <n v="320390"/>
  </r>
  <r>
    <x v="4"/>
    <n v="11"/>
    <x v="1"/>
    <x v="0"/>
    <n v="636375"/>
    <n v="453126"/>
    <n v="182862"/>
    <x v="48"/>
    <n v="328581"/>
    <x v="49"/>
    <n v="286560"/>
    <n v="307794"/>
    <n v="387"/>
    <n v="0"/>
    <n v="41991"/>
    <x v="49"/>
    <x v="0"/>
    <n v="11336"/>
    <n v="29"/>
    <n v="19"/>
    <n v="10"/>
    <n v="286176"/>
  </r>
  <r>
    <x v="4"/>
    <n v="12"/>
    <x v="2"/>
    <x v="0"/>
    <n v="1061158"/>
    <n v="307794"/>
    <n v="752707"/>
    <x v="49"/>
    <n v="479945"/>
    <x v="50"/>
    <n v="402084"/>
    <n v="581213"/>
    <n v="657"/>
    <n v="0"/>
    <n v="77861"/>
    <x v="50"/>
    <x v="0"/>
    <n v="13844"/>
    <n v="0"/>
    <n v="0"/>
    <n v="0"/>
    <n v="401427"/>
  </r>
  <r>
    <x v="5"/>
    <n v="1"/>
    <x v="3"/>
    <x v="0"/>
    <n v="1579950"/>
    <n v="581213"/>
    <n v="998454"/>
    <x v="50"/>
    <n v="1043563"/>
    <x v="51"/>
    <n v="430879"/>
    <n v="998633"/>
    <n v="283"/>
    <n v="0"/>
    <n v="144138"/>
    <x v="51"/>
    <x v="0"/>
    <n v="6300"/>
    <n v="0"/>
    <n v="0"/>
    <n v="0"/>
    <n v="430596"/>
  </r>
  <r>
    <x v="5"/>
    <n v="2"/>
    <x v="4"/>
    <x v="0"/>
    <n v="2077827"/>
    <n v="998633"/>
    <n v="1079194"/>
    <x v="51"/>
    <n v="426779"/>
    <x v="52"/>
    <n v="328280"/>
    <n v="1651048"/>
    <n v="0"/>
    <n v="0"/>
    <n v="80667"/>
    <x v="52"/>
    <x v="0"/>
    <n v="17832"/>
    <n v="0"/>
    <n v="0"/>
    <n v="0"/>
    <n v="328280"/>
  </r>
  <r>
    <x v="5"/>
    <n v="3"/>
    <x v="5"/>
    <x v="0"/>
    <n v="2819812"/>
    <n v="1651048"/>
    <n v="1166112"/>
    <x v="50"/>
    <n v="622317"/>
    <x v="53"/>
    <n v="489962"/>
    <n v="2197496"/>
    <n v="2653"/>
    <n v="0"/>
    <n v="113330"/>
    <x v="53"/>
    <x v="29"/>
    <n v="19024"/>
    <n v="1"/>
    <n v="0"/>
    <n v="1"/>
    <n v="487309"/>
  </r>
  <r>
    <x v="5"/>
    <n v="4"/>
    <x v="6"/>
    <x v="0"/>
    <n v="3288032"/>
    <n v="2197496"/>
    <n v="1084918"/>
    <x v="52"/>
    <n v="641829"/>
    <x v="54"/>
    <n v="497382"/>
    <n v="2646203"/>
    <n v="56218"/>
    <n v="0"/>
    <n v="142428"/>
    <x v="54"/>
    <x v="0"/>
    <n v="19553"/>
    <n v="20"/>
    <n v="0"/>
    <n v="20"/>
    <n v="474211"/>
  </r>
  <r>
    <x v="5"/>
    <n v="5"/>
    <x v="7"/>
    <x v="0"/>
    <n v="3347709"/>
    <n v="2646203"/>
    <n v="701105"/>
    <x v="53"/>
    <n v="528234"/>
    <x v="55"/>
    <n v="430435"/>
    <n v="2819475"/>
    <n v="402"/>
    <n v="0"/>
    <n v="71319"/>
    <x v="55"/>
    <x v="0"/>
    <n v="26460"/>
    <n v="20"/>
    <n v="0"/>
    <n v="20"/>
    <n v="430033"/>
  </r>
  <r>
    <x v="5"/>
    <n v="6"/>
    <x v="8"/>
    <x v="0"/>
    <n v="2964181"/>
    <n v="2819475"/>
    <n v="144181"/>
    <x v="54"/>
    <n v="537831"/>
    <x v="56"/>
    <n v="335552"/>
    <n v="2426351"/>
    <n v="525"/>
    <n v="0"/>
    <n v="172957"/>
    <x v="56"/>
    <x v="30"/>
    <n v="29301"/>
    <n v="21"/>
    <n v="0.1"/>
    <n v="21"/>
    <n v="335027"/>
  </r>
  <r>
    <x v="5"/>
    <n v="7"/>
    <x v="9"/>
    <x v="0"/>
    <n v="2430026"/>
    <n v="2426351"/>
    <n v="3166"/>
    <x v="55"/>
    <n v="471918"/>
    <x v="57"/>
    <n v="311557"/>
    <n v="1958108"/>
    <n v="510"/>
    <n v="0"/>
    <n v="126923"/>
    <x v="57"/>
    <x v="31"/>
    <n v="33432"/>
    <n v="6"/>
    <n v="0"/>
    <n v="6"/>
    <n v="311047"/>
  </r>
  <r>
    <x v="5"/>
    <n v="8"/>
    <x v="10"/>
    <x v="0"/>
    <n v="1959306.5830000001"/>
    <n v="1958108.301"/>
    <n v="0"/>
    <x v="56"/>
    <n v="525952"/>
    <x v="58"/>
    <n v="391468"/>
    <n v="1433335"/>
    <n v="1198"/>
    <n v="0"/>
    <n v="99662"/>
    <x v="58"/>
    <x v="32"/>
    <n v="34822"/>
    <n v="0"/>
    <n v="0"/>
    <n v="0"/>
    <n v="390270"/>
  </r>
  <r>
    <x v="5"/>
    <n v="9"/>
    <x v="11"/>
    <x v="0"/>
    <n v="1437584"/>
    <n v="1433355"/>
    <n v="0"/>
    <x v="57"/>
    <n v="400620"/>
    <x v="59"/>
    <n v="207838"/>
    <n v="1036963.485"/>
    <n v="4229"/>
    <n v="0"/>
    <n v="142925"/>
    <x v="59"/>
    <x v="33"/>
    <n v="49635"/>
    <n v="222"/>
    <n v="222"/>
    <n v="0"/>
    <n v="203609"/>
  </r>
  <r>
    <x v="5"/>
    <n v="10"/>
    <x v="0"/>
    <x v="0"/>
    <n v="1042052.362"/>
    <n v="1036963.485"/>
    <n v="0"/>
    <x v="58"/>
    <n v="409299.61540000001"/>
    <x v="60"/>
    <n v="343107.64970000001"/>
    <n v="632772.02500000002"/>
    <n v="5088.8774110000004"/>
    <n v="0"/>
    <n v="46405.220410000002"/>
    <x v="60"/>
    <x v="34"/>
    <n v="19767.452850000001"/>
    <n v="19.2925"/>
    <n v="19.277999999999999"/>
    <n v="1.4500000000000001E-2"/>
    <n v="338018.77220000001"/>
  </r>
  <r>
    <x v="5"/>
    <n v="11"/>
    <x v="1"/>
    <x v="0"/>
    <n v="814519.69990000001"/>
    <n v="632772.02500000002"/>
    <n v="178503.0851"/>
    <x v="59"/>
    <n v="415909.53690000001"/>
    <x v="61"/>
    <n v="358781.68819999998"/>
    <n v="399002.31300000002"/>
    <n v="3244.5898000000002"/>
    <n v="0"/>
    <n v="36062.56581"/>
    <x v="61"/>
    <x v="35"/>
    <n v="20002.004980000002"/>
    <n v="1063.278"/>
    <n v="392.15"/>
    <n v="671.12800000000004"/>
    <n v="355537.09840000002"/>
  </r>
  <r>
    <x v="5"/>
    <n v="12"/>
    <x v="2"/>
    <x v="0"/>
    <n v="1133643.584"/>
    <n v="399002.31300000002"/>
    <n v="733418.71990000003"/>
    <x v="60"/>
    <n v="499426.58840000001"/>
    <x v="62"/>
    <n v="398163.63589999999"/>
    <n v="635186.15800000005"/>
    <n v="1222.5514149999999"/>
    <n v="0"/>
    <n v="75122.691829999996"/>
    <x v="62"/>
    <x v="36"/>
    <n v="24125.585500000001"/>
    <n v="2014.67516"/>
    <n v="969.16215999999997"/>
    <n v="1045.5129999999999"/>
    <n v="396941.0845"/>
  </r>
  <r>
    <x v="6"/>
    <n v="1"/>
    <x v="3"/>
    <x v="0"/>
    <n v="1712457.6910000001"/>
    <n v="635186.15800000005"/>
    <n v="1074828.821"/>
    <x v="61"/>
    <n v="567516.272"/>
    <x v="63"/>
    <n v="413083.223"/>
    <n v="1145217.291"/>
    <n v="2442.7121109999998"/>
    <n v="0"/>
    <n v="132445.24590000001"/>
    <x v="63"/>
    <x v="37"/>
    <n v="20275.347600000001"/>
    <n v="1712.4555"/>
    <n v="275.87200000000001"/>
    <n v="1436.5835"/>
    <n v="410640.51089999999"/>
  </r>
  <r>
    <x v="6"/>
    <n v="2"/>
    <x v="4"/>
    <x v="0"/>
    <n v="2189692.2769999998"/>
    <n v="1145217.291"/>
    <n v="1042258.416"/>
    <x v="62"/>
    <n v="467552.97129999998"/>
    <x v="64"/>
    <n v="350372.03590000002"/>
    <n v="1705951.3060000001"/>
    <n v="2216.5700999999999"/>
    <n v="0"/>
    <n v="100751.31690000001"/>
    <x v="64"/>
    <x v="38"/>
    <n v="14956"/>
    <n v="1473.6185"/>
    <n v="320"/>
    <n v="1153.6185"/>
    <n v="348155.46580000001"/>
  </r>
  <r>
    <x v="6"/>
    <n v="3"/>
    <x v="5"/>
    <x v="0"/>
    <n v="2915172.1120000002"/>
    <n v="1705951.3060000001"/>
    <n v="1205962.5959999999"/>
    <x v="63"/>
    <n v="590783.05099999998"/>
    <x v="65"/>
    <n v="485564.83659999998"/>
    <n v="2324546.3089999999"/>
    <n v="3258.210869"/>
    <n v="0"/>
    <n v="77208.938869999998"/>
    <x v="65"/>
    <x v="39"/>
    <n v="27852.009559999999"/>
    <n v="157.26599999999999"/>
    <n v="157.24799999999999"/>
    <n v="1.7999999999999999E-2"/>
    <n v="482306.62569999998"/>
  </r>
  <r>
    <x v="6"/>
    <n v="4"/>
    <x v="6"/>
    <x v="0"/>
    <n v="3370472.733"/>
    <n v="2324546.3089999999"/>
    <n v="1043937.223"/>
    <x v="64"/>
    <n v="592100.15370000002"/>
    <x v="66"/>
    <n v="360777.73749999999"/>
    <n v="2778432.5789999999"/>
    <n v="1989.2011030000001"/>
    <n v="0"/>
    <n v="205450.40820000001"/>
    <x v="66"/>
    <x v="40"/>
    <n v="25728.455900000001"/>
    <n v="143.55199999999999"/>
    <n v="60"/>
    <n v="83.552000000000007"/>
    <n v="358788.53639999998"/>
  </r>
  <r>
    <x v="6"/>
    <n v="5"/>
    <x v="7"/>
    <x v="0"/>
    <n v="3357559.3560000001"/>
    <n v="2778432.5789999999"/>
    <n v="576434.81960000005"/>
    <x v="65"/>
    <n v="680623.80409999995"/>
    <x v="67"/>
    <n v="451990.14919999999"/>
    <n v="2677095.5520000001"/>
    <n v="2691.9575599999998"/>
    <n v="0"/>
    <n v="194596.74309999999"/>
    <x v="67"/>
    <x v="41"/>
    <n v="33020.05328"/>
    <n v="1016.8586"/>
    <n v="160"/>
    <n v="856.85860000000002"/>
    <n v="449298.19160000002"/>
  </r>
  <r>
    <x v="6"/>
    <n v="6"/>
    <x v="8"/>
    <x v="0"/>
    <n v="2779335.9909999999"/>
    <n v="2677095.5520000001"/>
    <n v="98879.117710000006"/>
    <x v="66"/>
    <n v="434649.88079999998"/>
    <x v="68"/>
    <n v="352973.4754"/>
    <n v="2344705.94"/>
    <n v="3361.3210549999999"/>
    <n v="0"/>
    <n v="53191.71327"/>
    <x v="68"/>
    <x v="42"/>
    <n v="27455.40236"/>
    <n v="1029.2897"/>
    <n v="19.829999999999998"/>
    <n v="1009.4597"/>
    <n v="349612.1544"/>
  </r>
  <r>
    <x v="6"/>
    <n v="7"/>
    <x v="9"/>
    <x v="0"/>
    <n v="2354442.2220000001"/>
    <n v="2344705.94"/>
    <n v="2947.4"/>
    <x v="67"/>
    <n v="427600.3579"/>
    <x v="69"/>
    <n v="329853.32780000003"/>
    <n v="1926980.4879999999"/>
    <n v="6788.8818680000004"/>
    <n v="0"/>
    <n v="65539.064809999996"/>
    <x v="69"/>
    <x v="43"/>
    <n v="30831.79722"/>
    <n v="1376.1679999999999"/>
    <n v="138.624"/>
    <n v="1237.5440000000001"/>
    <n v="323064.446"/>
  </r>
  <r>
    <x v="6"/>
    <n v="8"/>
    <x v="10"/>
    <x v="0"/>
    <n v="1937395.74"/>
    <n v="1926980.4879999999"/>
    <n v="0"/>
    <x v="68"/>
    <n v="533241.73300000001"/>
    <x v="70"/>
    <n v="438328.25199999998"/>
    <n v="1404213.047"/>
    <n v="10415.252"/>
    <n v="0"/>
    <n v="42656.758999999998"/>
    <x v="70"/>
    <x v="44"/>
    <n v="50288.21"/>
    <n v="1968.5119999999999"/>
    <n v="59.04"/>
    <n v="1909.472"/>
    <n v="427913"/>
  </r>
  <r>
    <x v="6"/>
    <n v="9"/>
    <x v="11"/>
    <x v="0"/>
    <n v="1409882.504"/>
    <n v="1404213.047"/>
    <n v="0"/>
    <x v="69"/>
    <n v="407824.97989999998"/>
    <x v="71"/>
    <n v="232246.2064"/>
    <n v="1002342.02"/>
    <n v="5669.4566640000003"/>
    <n v="0"/>
    <n v="141291.36850000001"/>
    <x v="71"/>
    <x v="45"/>
    <n v="32172.503000000001"/>
    <n v="2114.902"/>
    <n v="284.49599999999998"/>
    <n v="1830.4059999999999"/>
    <n v="226576.74969999999"/>
  </r>
  <r>
    <x v="6"/>
    <n v="10"/>
    <x v="0"/>
    <x v="0"/>
    <n v="1032695.706"/>
    <n v="1002342.02"/>
    <n v="0"/>
    <x v="70"/>
    <n v="372761.82809999998"/>
    <x v="72"/>
    <n v="340438.09220000001"/>
    <n v="659933.87800000003"/>
    <n v="30353.686259999999"/>
    <n v="0"/>
    <n v="9150.6070209999998"/>
    <x v="72"/>
    <x v="0"/>
    <n v="22842.93088"/>
    <n v="330.19799999999998"/>
    <n v="316.27600000000001"/>
    <n v="13.922000000000001"/>
    <n v="310084.40590000001"/>
  </r>
  <r>
    <x v="6"/>
    <n v="11"/>
    <x v="1"/>
    <x v="0"/>
    <n v="828090.65919999999"/>
    <n v="659933.87800000003"/>
    <n v="162960.03099999999"/>
    <x v="71"/>
    <n v="355439.47720000002"/>
    <x v="73"/>
    <n v="313006.5577"/>
    <n v="472671.18199999997"/>
    <n v="5196.7502119999999"/>
    <n v="0"/>
    <n v="18472.720539999998"/>
    <x v="73"/>
    <x v="46"/>
    <n v="23343.356029999999"/>
    <n v="616.84299999999996"/>
    <n v="496.64600000000002"/>
    <n v="120.197"/>
    <n v="307809.80739999999"/>
  </r>
  <r>
    <x v="6"/>
    <n v="12"/>
    <x v="2"/>
    <x v="0"/>
    <n v="1319450.0959999999"/>
    <n v="472671.18199999997"/>
    <n v="843562.57"/>
    <x v="72"/>
    <n v="439683.50469999999"/>
    <x v="74"/>
    <n v="365640.80739999999"/>
    <n v="880300.96799999999"/>
    <n v="3216.3437490000001"/>
    <n v="0"/>
    <n v="45988.821479999999"/>
    <x v="74"/>
    <x v="47"/>
    <n v="26912.606889999999"/>
    <n v="1141.269"/>
    <n v="606.87699999999995"/>
    <n v="534.39200000000005"/>
    <n v="362424.46360000002"/>
  </r>
  <r>
    <x v="7"/>
    <n v="1"/>
    <x v="3"/>
    <x v="0"/>
    <n v="1982066.3030000001"/>
    <n v="880300.96799999999"/>
    <n v="1057304.493"/>
    <x v="73"/>
    <n v="505013.54470000003"/>
    <x v="75"/>
    <n v="404503.3775"/>
    <n v="1477526.7169999999"/>
    <n v="44460.841370000002"/>
    <n v="0"/>
    <n v="87350.577999999994"/>
    <x v="75"/>
    <x v="48"/>
    <n v="11996.44333"/>
    <n v="1163.14588"/>
    <n v="538.95893999999998"/>
    <n v="624.18694000000005"/>
    <n v="360042.53619999997"/>
  </r>
  <r>
    <x v="7"/>
    <n v="2"/>
    <x v="4"/>
    <x v="0"/>
    <n v="2508105.3289999999"/>
    <n v="1477526.7169999999"/>
    <n v="1020478.414"/>
    <x v="74"/>
    <n v="521532.49839999998"/>
    <x v="76"/>
    <n v="352051.19179999997"/>
    <n v="1986912.331"/>
    <n v="10100.19868"/>
    <n v="0"/>
    <n v="152800.08170000001"/>
    <x v="76"/>
    <x v="49"/>
    <n v="15965.390890000001"/>
    <n v="715.83399999999995"/>
    <n v="376.32799999999997"/>
    <n v="339.50599999999997"/>
    <n v="341950.99310000002"/>
  </r>
  <r>
    <x v="7"/>
    <n v="3"/>
    <x v="5"/>
    <x v="0"/>
    <n v="3197580.3289999999"/>
    <n v="1986912.331"/>
    <n v="1193629.338"/>
    <x v="75"/>
    <n v="610112.60800000001"/>
    <x v="77"/>
    <n v="327903.45850000001"/>
    <n v="2587807.7209999999"/>
    <n v="17038.66012"/>
    <n v="0"/>
    <n v="254193.9498"/>
    <x v="77"/>
    <x v="50"/>
    <n v="27335.198670000002"/>
    <n v="680.00099999999998"/>
    <n v="340"/>
    <n v="340.00099999999998"/>
    <n v="310864.79840000003"/>
  </r>
  <r>
    <x v="7"/>
    <n v="4"/>
    <x v="6"/>
    <x v="0"/>
    <n v="3596166.5240000002"/>
    <n v="2587807.7209999999"/>
    <n v="1001424.219"/>
    <x v="76"/>
    <n v="615665.08609999996"/>
    <x v="78"/>
    <n v="453466.74320000003"/>
    <n v="2980949.5980000002"/>
    <n v="6934.583901"/>
    <n v="0"/>
    <n v="144849.3296"/>
    <x v="78"/>
    <x v="51"/>
    <n v="15959.09282"/>
    <n v="1389.92048"/>
    <n v="791.76023999999995"/>
    <n v="598.16024000000004"/>
    <n v="446532.1593"/>
  </r>
  <r>
    <x v="7"/>
    <n v="5"/>
    <x v="7"/>
    <x v="0"/>
    <n v="3615129.4619999998"/>
    <n v="2980949.5980000002"/>
    <n v="628555.07909999997"/>
    <x v="77"/>
    <n v="457765.79310000001"/>
    <x v="79"/>
    <n v="371063.18900000001"/>
    <n v="3157483.1779999998"/>
    <n v="5624.7844610000002"/>
    <n v="0"/>
    <n v="53738.633500000004"/>
    <x v="79"/>
    <x v="52"/>
    <n v="32724.866559999999"/>
    <n v="239.10400000000001"/>
    <n v="119.595"/>
    <n v="119.509"/>
    <n v="365438.40460000001"/>
  </r>
  <r>
    <x v="7"/>
    <n v="6"/>
    <x v="8"/>
    <x v="0"/>
    <n v="3259103.1260000002"/>
    <n v="3157483.1779999998"/>
    <n v="99096.531860000003"/>
    <x v="78"/>
    <n v="500892.63829999999"/>
    <x v="80"/>
    <n v="403834.99530000001"/>
    <n v="2758250.4879999999"/>
    <n v="2523.41696"/>
    <n v="0"/>
    <n v="55184.061000000002"/>
    <x v="80"/>
    <x v="53"/>
    <n v="41734.781999999999"/>
    <n v="138.80000000000001"/>
    <n v="98.8"/>
    <n v="40"/>
    <n v="401311.5784"/>
  </r>
  <r>
    <x v="7"/>
    <n v="7"/>
    <x v="9"/>
    <x v="0"/>
    <n v="2762406.4380000001"/>
    <n v="2758250.4879999999"/>
    <n v="2509.5"/>
    <x v="79"/>
    <n v="521180.79210000002"/>
    <x v="81"/>
    <n v="358333.95760000002"/>
    <n v="2241284.4190000002"/>
    <n v="1646.450116"/>
    <n v="0"/>
    <n v="128926.8995"/>
    <x v="81"/>
    <x v="49"/>
    <n v="33802.389049999998"/>
    <n v="117.54600000000001"/>
    <n v="58.773000000000003"/>
    <n v="58.773000000000003"/>
    <n v="356687.50750000001"/>
  </r>
  <r>
    <x v="7"/>
    <n v="8"/>
    <x v="10"/>
    <x v="0"/>
    <n v="2244236.3199999998"/>
    <n v="2241284.4190000002"/>
    <n v="0"/>
    <x v="80"/>
    <n v="474974.78090000001"/>
    <x v="82"/>
    <n v="362292.74249999999"/>
    <n v="1753192.01"/>
    <n v="2951.900897"/>
    <n v="0"/>
    <n v="69253.107600000003"/>
    <x v="82"/>
    <x v="54"/>
    <n v="43191.988799999999"/>
    <n v="236.94200000000001"/>
    <n v="118.471"/>
    <n v="118.471"/>
    <n v="359340.84159999999"/>
  </r>
  <r>
    <x v="7"/>
    <n v="9"/>
    <x v="11"/>
    <x v="0"/>
    <n v="1755487.35"/>
    <n v="1753192.01"/>
    <n v="0"/>
    <x v="81"/>
    <n v="343624.54979999998"/>
    <x v="83"/>
    <n v="175713.16990000001"/>
    <n v="1394532.861"/>
    <n v="2295.3397920000002"/>
    <n v="0"/>
    <n v="69774.288039999999"/>
    <x v="83"/>
    <x v="55"/>
    <n v="97740.832880000002"/>
    <n v="396.25900000000001"/>
    <n v="331.62099999999998"/>
    <n v="64.638000000000005"/>
    <n v="173417.83009999999"/>
  </r>
  <r>
    <x v="7"/>
    <n v="10"/>
    <x v="0"/>
    <x v="0"/>
    <n v="1395941.922"/>
    <n v="1394532.861"/>
    <n v="0"/>
    <x v="82"/>
    <n v="371870.34250000003"/>
    <x v="84"/>
    <n v="309609.18099999998"/>
    <n v="1022229.924"/>
    <n v="1409.06051"/>
    <n v="0"/>
    <n v="48570.165840000001"/>
    <x v="84"/>
    <x v="56"/>
    <n v="13552.391670000001"/>
    <n v="138.60400000000001"/>
    <n v="138.60400000000001"/>
    <n v="0"/>
    <n v="308200.12050000002"/>
  </r>
  <r>
    <x v="7"/>
    <n v="11"/>
    <x v="1"/>
    <x v="0"/>
    <n v="1140499.666"/>
    <n v="1022229.924"/>
    <n v="117601.74"/>
    <x v="83"/>
    <n v="535148.30200000003"/>
    <x v="85"/>
    <n v="401214.38189999998"/>
    <n v="604936.36399999994"/>
    <n v="668.00204859999997"/>
    <n v="0"/>
    <n v="115152.4074"/>
    <x v="85"/>
    <x v="57"/>
    <n v="18118.566770000001"/>
    <n v="662.94600000000003"/>
    <n v="440"/>
    <n v="222.946"/>
    <n v="400546.3799"/>
  </r>
  <r>
    <x v="7"/>
    <n v="12"/>
    <x v="2"/>
    <x v="0"/>
    <n v="1402258.2490000001"/>
    <n v="604936.36399999994"/>
    <n v="796047.65599999996"/>
    <x v="84"/>
    <n v="479064.48839999997"/>
    <x v="86"/>
    <n v="348846.04670000001"/>
    <n v="880224.7206"/>
    <n v="1274.2289840000001"/>
    <n v="0"/>
    <n v="106244.0803"/>
    <x v="86"/>
    <x v="58"/>
    <n v="23070.196390000001"/>
    <n v="904.16499999999996"/>
    <n v="585.04"/>
    <n v="319.125"/>
    <n v="347571.81770000001"/>
  </r>
  <r>
    <x v="8"/>
    <n v="1"/>
    <x v="3"/>
    <x v="0"/>
    <n v="1972120.11"/>
    <n v="880224.7206"/>
    <n v="1091303.6669999999"/>
    <x v="85"/>
    <n v="490174.75050000002"/>
    <x v="87"/>
    <n v="450562.96429999999"/>
    <n v="1465489.11"/>
    <n v="591.72227650000002"/>
    <n v="0"/>
    <n v="20350.705300000001"/>
    <x v="87"/>
    <x v="59"/>
    <n v="18894.947909999999"/>
    <n v="366.13299999999998"/>
    <n v="97.930999999999997"/>
    <n v="268.202"/>
    <n v="449971.24200000003"/>
  </r>
  <r>
    <x v="8"/>
    <n v="2"/>
    <x v="4"/>
    <x v="0"/>
    <n v="2582777.8769999999"/>
    <n v="1465489.11"/>
    <n v="1116211.8"/>
    <x v="86"/>
    <n v="516439.2745"/>
    <x v="88"/>
    <n v="265477.09749999997"/>
    <n v="2049198.6029999999"/>
    <n v="1076.9672330000001"/>
    <n v="0"/>
    <n v="220857.24230000001"/>
    <x v="88"/>
    <x v="60"/>
    <n v="29534.388800000001"/>
    <n v="570.54600000000005"/>
    <n v="277.52"/>
    <n v="293.02600000000001"/>
    <n v="264400.13020000001"/>
  </r>
  <r>
    <x v="8"/>
    <n v="3"/>
    <x v="5"/>
    <x v="0"/>
    <n v="3267274.3059999999"/>
    <n v="2049198.6029999999"/>
    <n v="1211563.173"/>
    <x v="87"/>
    <n v="570163.03529999999"/>
    <x v="89"/>
    <n v="359405.35739999998"/>
    <n v="2668364.3709999998"/>
    <n v="6512.5304509999996"/>
    <n v="0"/>
    <n v="177653.93100000001"/>
    <x v="89"/>
    <x v="61"/>
    <n v="32624.750810000001"/>
    <n v="478.99599999999998"/>
    <n v="278.76"/>
    <n v="200.23599999999999"/>
    <n v="352892.82699999999"/>
  </r>
  <r>
    <x v="8"/>
    <n v="4"/>
    <x v="6"/>
    <x v="0"/>
    <n v="3813663.9739999999"/>
    <n v="2668364.3709999998"/>
    <n v="1144102.0649999999"/>
    <x v="88"/>
    <n v="647689.5442"/>
    <x v="90"/>
    <n v="329395.00060000003"/>
    <n v="3165974.43"/>
    <n v="1197.5387009999999"/>
    <n v="0"/>
    <n v="290094.59470000002"/>
    <x v="90"/>
    <x v="62"/>
    <n v="28058.31079"/>
    <n v="141.63800000000001"/>
    <n v="20"/>
    <n v="121.63800000000001"/>
    <n v="328197.46189999999"/>
  </r>
  <r>
    <x v="8"/>
    <n v="5"/>
    <x v="7"/>
    <x v="0"/>
    <n v="3997644.5639999998"/>
    <n v="3165974.43"/>
    <n v="830177.73609999998"/>
    <x v="89"/>
    <n v="749742.08010000002"/>
    <x v="91"/>
    <n v="441895.94339999999"/>
    <n v="3243932.4840000002"/>
    <n v="1492.39787"/>
    <n v="0"/>
    <n v="262125.42929999999"/>
    <x v="91"/>
    <x v="63"/>
    <n v="45495.194409999996"/>
    <n v="225.51300000000001"/>
    <n v="60"/>
    <n v="165.51300000000001"/>
    <n v="440403.54560000001"/>
  </r>
  <r>
    <x v="8"/>
    <n v="6"/>
    <x v="8"/>
    <x v="0"/>
    <n v="3363783.2560000001"/>
    <n v="3243932.4840000002"/>
    <n v="118911.16039999999"/>
    <x v="90"/>
    <n v="488819.27279999998"/>
    <x v="92"/>
    <n v="286383.03370000003"/>
    <n v="2866788.6170000001"/>
    <n v="939.61129000000005"/>
    <n v="0"/>
    <n v="171986.49160000001"/>
    <x v="92"/>
    <x v="64"/>
    <n v="30218.271499999999"/>
    <n v="231.476"/>
    <n v="79.602000000000004"/>
    <n v="151.874"/>
    <n v="285443.42239999998"/>
  </r>
  <r>
    <x v="8"/>
    <n v="7"/>
    <x v="9"/>
    <x v="0"/>
    <n v="2868853.375"/>
    <n v="2866788.6170000001"/>
    <n v="0"/>
    <x v="91"/>
    <n v="592052.44839999999"/>
    <x v="93"/>
    <n v="322702.40409999999"/>
    <n v="2263006.514"/>
    <n v="2064.7583570000002"/>
    <n v="0"/>
    <n v="224157.18100000001"/>
    <x v="93"/>
    <x v="65"/>
    <n v="44937.034480000002"/>
    <n v="255.8288"/>
    <n v="0"/>
    <n v="255.8288"/>
    <n v="320637.64569999999"/>
  </r>
  <r>
    <x v="8"/>
    <n v="8"/>
    <x v="10"/>
    <x v="0"/>
    <n v="2265521.3139999998"/>
    <n v="2263006.514"/>
    <n v="0"/>
    <x v="92"/>
    <n v="523725.32160000002"/>
    <x v="94"/>
    <n v="326611.46460000001"/>
    <n v="1721440.9920000001"/>
    <n v="2514.7996050000002"/>
    <n v="0"/>
    <n v="161249.68580000001"/>
    <x v="94"/>
    <x v="66"/>
    <n v="35599.980190000002"/>
    <n v="264.19099999999997"/>
    <n v="180.155"/>
    <n v="84.036000000000001"/>
    <n v="324096.66499999998"/>
  </r>
  <r>
    <x v="8"/>
    <n v="9"/>
    <x v="11"/>
    <x v="0"/>
    <n v="1723370.0009999999"/>
    <n v="1721440.9920000001"/>
    <n v="0"/>
    <x v="93"/>
    <n v="542528.77830000001"/>
    <x v="95"/>
    <n v="249816.77480000001"/>
    <n v="1168741.023"/>
    <n v="1929.0092749999999"/>
    <n v="0"/>
    <n v="215198.2562"/>
    <x v="95"/>
    <x v="67"/>
    <n v="76655.151259999999"/>
    <n v="858.596"/>
    <n v="360"/>
    <n v="498.596"/>
    <n v="247887.76550000001"/>
  </r>
  <r>
    <x v="8"/>
    <n v="10"/>
    <x v="0"/>
    <x v="0"/>
    <n v="1171653.8840000001"/>
    <n v="1168741.023"/>
    <n v="0"/>
    <x v="94"/>
    <n v="450915.68660000002"/>
    <x v="96"/>
    <n v="399077.7769"/>
    <n v="720086.74699999997"/>
    <n v="2912.860604"/>
    <n v="0"/>
    <n v="23451.3868"/>
    <x v="96"/>
    <x v="68"/>
    <n v="28386.522860000001"/>
    <n v="0"/>
    <n v="0"/>
    <n v="0"/>
    <n v="396164.91629999998"/>
  </r>
  <r>
    <x v="8"/>
    <n v="11"/>
    <x v="1"/>
    <x v="0"/>
    <n v="798652.63320000004"/>
    <n v="720086.74699999997"/>
    <n v="73214.950349999999"/>
    <x v="95"/>
    <n v="382144.5012"/>
    <x v="97"/>
    <n v="318304.1151"/>
    <n v="413143.13199999998"/>
    <n v="5350.9358679999996"/>
    <n v="0"/>
    <n v="44942.549800000001"/>
    <x v="97"/>
    <x v="69"/>
    <n v="18518.236339999999"/>
    <n v="379.6"/>
    <n v="379.6"/>
    <n v="0"/>
    <n v="312953.17920000001"/>
  </r>
  <r>
    <x v="8"/>
    <n v="12"/>
    <x v="2"/>
    <x v="0"/>
    <n v="1008324.539"/>
    <n v="413143.13199999998"/>
    <n v="591250.75190000003"/>
    <x v="96"/>
    <n v="365004.69280000002"/>
    <x v="98"/>
    <n v="328080.52659999998"/>
    <n v="643319.84649999999"/>
    <n v="3930.6554430000001"/>
    <n v="0"/>
    <n v="13152.54336"/>
    <x v="98"/>
    <x v="70"/>
    <n v="23275.962810000001"/>
    <n v="495.66"/>
    <n v="455.66"/>
    <n v="40"/>
    <n v="324149.87119999999"/>
  </r>
  <r>
    <x v="9"/>
    <n v="1"/>
    <x v="3"/>
    <x v="0"/>
    <n v="1560574.1769999999"/>
    <n v="643319.84649999999"/>
    <n v="915106.92279999994"/>
    <x v="97"/>
    <n v="555948.09149999998"/>
    <x v="99"/>
    <n v="421063.26779999997"/>
    <n v="1004626.086"/>
    <n v="2147.4081649999998"/>
    <n v="0"/>
    <n v="110020.9991"/>
    <x v="99"/>
    <x v="71"/>
    <n v="24743.82458"/>
    <n v="120"/>
    <n v="120"/>
    <n v="0"/>
    <n v="418915.85960000003"/>
  </r>
  <r>
    <x v="9"/>
    <n v="2"/>
    <x v="4"/>
    <x v="0"/>
    <n v="1971275.227"/>
    <n v="1004626.086"/>
    <n v="965702.63199999998"/>
    <x v="98"/>
    <n v="494890.74690000003"/>
    <x v="100"/>
    <n v="368057.69549999997"/>
    <n v="1476384.48"/>
    <n v="946.50888929999996"/>
    <n v="0"/>
    <n v="99231.51066"/>
    <x v="100"/>
    <x v="72"/>
    <n v="27423.400740000001"/>
    <n v="178.14"/>
    <n v="178.14"/>
    <n v="0"/>
    <n v="367111.18660000002"/>
  </r>
  <r>
    <x v="9"/>
    <n v="3"/>
    <x v="5"/>
    <x v="0"/>
    <n v="2619417.5860000001"/>
    <n v="1476384.48"/>
    <n v="1142393.987"/>
    <x v="99"/>
    <n v="662360.26329999999"/>
    <x v="101"/>
    <n v="460759.53889999999"/>
    <n v="1957057.3230000001"/>
    <n v="639.1195927"/>
    <n v="0"/>
    <n v="170413.7187"/>
    <x v="101"/>
    <x v="73"/>
    <n v="31007.005649999999"/>
    <n v="180"/>
    <n v="180"/>
    <n v="0"/>
    <n v="460120.41930000001"/>
  </r>
  <r>
    <x v="9"/>
    <n v="4"/>
    <x v="6"/>
    <x v="0"/>
    <n v="2905877.8670000001"/>
    <n v="1957057.3230000001"/>
    <n v="947809.41440000001"/>
    <x v="100"/>
    <n v="644597.54280000005"/>
    <x v="102"/>
    <n v="371101.61330000003"/>
    <n v="2261280.324"/>
    <n v="1011.129372"/>
    <n v="0"/>
    <n v="244282.546"/>
    <x v="102"/>
    <x v="74"/>
    <n v="29133.383559999998"/>
    <n v="80"/>
    <n v="80"/>
    <n v="0"/>
    <n v="370090.48389999999"/>
  </r>
  <r>
    <x v="9"/>
    <n v="5"/>
    <x v="7"/>
    <x v="0"/>
    <n v="2773678.148"/>
    <n v="2261280.324"/>
    <n v="510658.64"/>
    <x v="101"/>
    <n v="460095.39079999999"/>
    <x v="103"/>
    <n v="299439.15389999998"/>
    <n v="2313582.7570000002"/>
    <n v="1739.183794"/>
    <n v="0"/>
    <n v="135185.24460000001"/>
    <x v="103"/>
    <x v="75"/>
    <n v="25310.992289999998"/>
    <n v="160"/>
    <n v="160"/>
    <n v="0"/>
    <n v="297699.97009999998"/>
  </r>
  <r>
    <x v="9"/>
    <n v="6"/>
    <x v="8"/>
    <x v="0"/>
    <n v="2440962.801"/>
    <n v="2313582.7570000002"/>
    <n v="122942.85"/>
    <x v="102"/>
    <n v="463742.34740000003"/>
    <x v="104"/>
    <n v="349073.39880000002"/>
    <n v="1977220.4539999999"/>
    <n v="4437.1943959999999"/>
    <n v="0"/>
    <n v="86198.192739999999"/>
    <x v="104"/>
    <x v="76"/>
    <n v="28410.755829999998"/>
    <n v="60"/>
    <n v="60"/>
    <n v="0"/>
    <n v="344636.20439999999"/>
  </r>
  <r>
    <x v="9"/>
    <n v="7"/>
    <x v="9"/>
    <x v="0"/>
    <n v="1989249.4990000001"/>
    <n v="1977220.4539999999"/>
    <n v="9240.15"/>
    <x v="103"/>
    <n v="402567.00189999997"/>
    <x v="105"/>
    <n v="265855.57929999998"/>
    <n v="1586682.497"/>
    <n v="2788.894894"/>
    <n v="0"/>
    <n v="107606.77469999999"/>
    <x v="105"/>
    <x v="0"/>
    <n v="29044.997889999999"/>
    <n v="59.65"/>
    <n v="59.6"/>
    <n v="0.05"/>
    <n v="263066.68440000003"/>
  </r>
  <r>
    <x v="9"/>
    <n v="8"/>
    <x v="10"/>
    <x v="0"/>
    <n v="1597471.2420000001"/>
    <n v="1586682.497"/>
    <n v="0"/>
    <x v="104"/>
    <n v="388657.63429999998"/>
    <x v="106"/>
    <n v="248200.8855"/>
    <n v="1208813.608"/>
    <n v="10788.745339999999"/>
    <n v="0"/>
    <n v="111613.50750000001"/>
    <x v="106"/>
    <x v="0"/>
    <n v="28763.041369999999"/>
    <n v="80.2"/>
    <n v="80.2"/>
    <n v="0"/>
    <n v="237412.14009999999"/>
  </r>
  <r>
    <x v="9"/>
    <n v="9"/>
    <x v="11"/>
    <x v="0"/>
    <n v="1226666.9110000001"/>
    <n v="1208813.608"/>
    <n v="0"/>
    <x v="105"/>
    <n v="369160.1041"/>
    <x v="107"/>
    <n v="272114.15870000003"/>
    <n v="857506.80700000003"/>
    <n v="17853.303090000001"/>
    <n v="0"/>
    <n v="60717.818180000002"/>
    <x v="107"/>
    <x v="0"/>
    <n v="35731.007189999997"/>
    <n v="597.12"/>
    <n v="597.12"/>
    <n v="0"/>
    <n v="254260.85560000001"/>
  </r>
  <r>
    <x v="9"/>
    <n v="10"/>
    <x v="0"/>
    <x v="0"/>
    <n v="867613.28240000003"/>
    <n v="857506.80700000003"/>
    <n v="1712.3"/>
    <x v="106"/>
    <n v="356212.95890000003"/>
    <x v="108"/>
    <n v="326369.73060000001"/>
    <n v="509034.97200000001"/>
    <n v="8394.1754060000003"/>
    <n v="0"/>
    <n v="3879.3184000000001"/>
    <x v="108"/>
    <x v="77"/>
    <n v="25963.90985"/>
    <n v="0"/>
    <n v="0"/>
    <n v="0"/>
    <n v="317975.5552"/>
  </r>
  <r>
    <x v="9"/>
    <n v="11"/>
    <x v="1"/>
    <x v="0"/>
    <n v="683598.12459999998"/>
    <n v="509034.97200000001"/>
    <n v="171358.55100000001"/>
    <x v="107"/>
    <n v="347587.83960000001"/>
    <x v="109"/>
    <n v="313606.12680000003"/>
    <n v="336010.28499999997"/>
    <n v="3204.601627"/>
    <n v="0"/>
    <n v="10851.073200000001"/>
    <x v="109"/>
    <x v="75"/>
    <n v="22830.639660000001"/>
    <n v="300"/>
    <n v="300"/>
    <n v="0"/>
    <n v="310401.52510000003"/>
  </r>
  <r>
    <x v="9"/>
    <n v="12"/>
    <x v="2"/>
    <x v="0"/>
    <n v="1183687.0109999999"/>
    <n v="336010.28499999997"/>
    <n v="845792.53300000005"/>
    <x v="108"/>
    <n v="418035.34499999997"/>
    <x v="110"/>
    <n v="346505.34740000003"/>
    <n v="765651.66599999997"/>
    <n v="1884.193012"/>
    <n v="0"/>
    <n v="45134.53976"/>
    <x v="110"/>
    <x v="78"/>
    <n v="25591.60785"/>
    <n v="803.85"/>
    <n v="803.85"/>
    <n v="0"/>
    <n v="344621.1544"/>
  </r>
  <r>
    <x v="10"/>
    <n v="1"/>
    <x v="3"/>
    <x v="0"/>
    <n v="1821782.15"/>
    <n v="765651.66599999997"/>
    <n v="1054895.683"/>
    <x v="109"/>
    <n v="477416.61690000002"/>
    <x v="111"/>
    <n v="334499.60119999998"/>
    <n v="1340553.5330000001"/>
    <n v="1234.800888"/>
    <n v="0"/>
    <n v="105778.386"/>
    <x v="111"/>
    <x v="79"/>
    <n v="37039.029649999997"/>
    <n v="99.6"/>
    <n v="99.6"/>
    <n v="0"/>
    <n v="333264.8003"/>
  </r>
  <r>
    <x v="10"/>
    <n v="2"/>
    <x v="4"/>
    <x v="0"/>
    <n v="2403234.4559999998"/>
    <n v="1340553.5330000001"/>
    <n v="1062131.5460000001"/>
    <x v="110"/>
    <n v="505518.70159999997"/>
    <x v="112"/>
    <n v="365693.27720000001"/>
    <n v="1897715.754"/>
    <n v="549.37664789999997"/>
    <n v="0"/>
    <n v="102236.7782"/>
    <x v="112"/>
    <x v="80"/>
    <n v="37370.286289999996"/>
    <n v="218.36"/>
    <n v="218.36"/>
    <n v="0"/>
    <n v="365143.90049999999"/>
  </r>
  <r>
    <x v="10"/>
    <n v="3"/>
    <x v="5"/>
    <x v="0"/>
    <n v="3087957.03"/>
    <n v="1897715.754"/>
    <n v="1188483.5900000001"/>
    <x v="111"/>
    <n v="557184.67559999996"/>
    <x v="113"/>
    <n v="356579.76390000002"/>
    <n v="2498772.3539999998"/>
    <n v="1757.6852260000001"/>
    <n v="0"/>
    <n v="157968.81159999999"/>
    <x v="113"/>
    <x v="81"/>
    <n v="42336.860489999999"/>
    <n v="299.23962"/>
    <n v="299.23962"/>
    <n v="0"/>
    <n v="354822.07870000001"/>
  </r>
  <r>
    <x v="10"/>
    <n v="4"/>
    <x v="6"/>
    <x v="0"/>
    <n v="3461364.32"/>
    <n v="2498772.3539999998"/>
    <n v="961128.10360000003"/>
    <x v="112"/>
    <n v="560946.75699999998"/>
    <x v="114"/>
    <n v="255693.44500000001"/>
    <n v="2900417.5630000001"/>
    <n v="1463.862359"/>
    <n v="0"/>
    <n v="268990.34519999998"/>
    <x v="114"/>
    <x v="82"/>
    <n v="36136.48674"/>
    <n v="126.48"/>
    <n v="120"/>
    <n v="6.48"/>
    <n v="254229.58259999999"/>
  </r>
  <r>
    <x v="10"/>
    <n v="5"/>
    <x v="7"/>
    <x v="0"/>
    <n v="3287992.622"/>
    <n v="2900417.5630000001"/>
    <n v="383636.91399999999"/>
    <x v="113"/>
    <n v="476006.1335"/>
    <x v="115"/>
    <n v="304800.41489999997"/>
    <n v="2789986.4879999999"/>
    <n v="3938.144546"/>
    <n v="0"/>
    <n v="134128.47440000001"/>
    <x v="115"/>
    <x v="83"/>
    <n v="36977.644200000002"/>
    <n v="99.6"/>
    <n v="99.6"/>
    <n v="0"/>
    <n v="300862.27039999998"/>
  </r>
  <r>
    <x v="10"/>
    <n v="6"/>
    <x v="8"/>
    <x v="0"/>
    <n v="2831928.202"/>
    <n v="2789986.4879999999"/>
    <n v="36633"/>
    <x v="114"/>
    <n v="507371.28889999999"/>
    <x v="116"/>
    <n v="364783.30160000001"/>
    <n v="2324556.9130000002"/>
    <n v="5308.713855"/>
    <n v="0"/>
    <n v="97182.294519999996"/>
    <x v="116"/>
    <x v="84"/>
    <n v="45399.495719999999"/>
    <n v="6.1970000000000001"/>
    <n v="6.1970000000000001"/>
    <n v="0"/>
    <n v="359474.58779999998"/>
  </r>
  <r>
    <x v="10"/>
    <n v="7"/>
    <x v="9"/>
    <x v="0"/>
    <n v="2336464.33"/>
    <n v="2324556.9130000002"/>
    <n v="9675.4"/>
    <x v="115"/>
    <n v="436024.63299999997"/>
    <x v="117"/>
    <n v="338695.93540000002"/>
    <n v="1900330.355"/>
    <n v="2232.0170499999999"/>
    <n v="0"/>
    <n v="54628.76483"/>
    <x v="117"/>
    <x v="85"/>
    <n v="42639.932820000002"/>
    <n v="60"/>
    <n v="60"/>
    <n v="0"/>
    <n v="336463.91830000002"/>
  </r>
  <r>
    <x v="10"/>
    <n v="8"/>
    <x v="10"/>
    <x v="0"/>
    <n v="1901860.267"/>
    <n v="1900330.355"/>
    <n v="0"/>
    <x v="116"/>
    <n v="436456.61249999999"/>
    <x v="118"/>
    <n v="358028.1911"/>
    <n v="1465403.6540000001"/>
    <n v="1529.911548"/>
    <n v="0"/>
    <n v="43974.207479999997"/>
    <x v="118"/>
    <x v="86"/>
    <n v="34453.669020000001"/>
    <n v="0.54500000000000004"/>
    <n v="0.54500000000000004"/>
    <n v="0"/>
    <n v="356498.2795"/>
  </r>
  <r>
    <x v="10"/>
    <n v="9"/>
    <x v="11"/>
    <x v="0"/>
    <n v="1465779.0249999999"/>
    <n v="1465403.6540000001"/>
    <n v="0"/>
    <x v="117"/>
    <n v="409485.28370000003"/>
    <x v="119"/>
    <n v="270174.86680000002"/>
    <n v="1053113.7409999999"/>
    <n v="375.37068900000003"/>
    <n v="0"/>
    <n v="74016.000889999996"/>
    <x v="119"/>
    <x v="87"/>
    <n v="64697.516020000003"/>
    <n v="596.9"/>
    <n v="596.9"/>
    <n v="0"/>
    <n v="269799.49609999999"/>
  </r>
  <r>
    <x v="10"/>
    <n v="10"/>
    <x v="0"/>
    <x v="0"/>
    <n v="1053581.6159999999"/>
    <n v="1053113.7409999999"/>
    <n v="0"/>
    <x v="118"/>
    <n v="419292.67469999997"/>
    <x v="120"/>
    <n v="368608.46059999999"/>
    <n v="621323.94099999999"/>
    <n v="467.87467240000001"/>
    <n v="0"/>
    <n v="20113.168000000001"/>
    <x v="120"/>
    <x v="88"/>
    <n v="30571.0461"/>
    <n v="0"/>
    <n v="0"/>
    <n v="0"/>
    <n v="368140.58590000001"/>
  </r>
  <r>
    <x v="10"/>
    <n v="11"/>
    <x v="1"/>
    <x v="0"/>
    <n v="791114.28529999999"/>
    <n v="621323.94099999999"/>
    <n v="169190.902"/>
    <x v="119"/>
    <n v="393386.75329999998"/>
    <x v="121"/>
    <n v="299355.98060000001"/>
    <n v="382024.23200000002"/>
    <n v="599.44231639999998"/>
    <n v="0"/>
    <n v="59960.915999999997"/>
    <x v="121"/>
    <x v="89"/>
    <n v="33509.856749999999"/>
    <n v="560"/>
    <n v="560"/>
    <n v="0"/>
    <n v="298756.53820000001"/>
  </r>
  <r>
    <x v="10"/>
    <n v="12"/>
    <x v="2"/>
    <x v="0"/>
    <n v="1240288.5209999999"/>
    <n v="382024.23200000002"/>
    <n v="857799.85120000003"/>
    <x v="120"/>
    <n v="489796.6041"/>
    <x v="122"/>
    <n v="405448.73340000003"/>
    <n v="726042.21699999995"/>
    <n v="464.43788380000001"/>
    <n v="0"/>
    <n v="42311.956039999997"/>
    <x v="122"/>
    <x v="90"/>
    <n v="41139.817369999997"/>
    <n v="896.09726000000001"/>
    <n v="896.09726000000001"/>
    <n v="0"/>
    <n v="404984.29550000001"/>
  </r>
  <r>
    <x v="11"/>
    <n v="1"/>
    <x v="3"/>
    <x v="0"/>
    <n v="1778824.0079999999"/>
    <n v="726042.21699999995"/>
    <n v="1052210.4029999999"/>
    <x v="121"/>
    <n v="548500.95689999999"/>
    <x v="123"/>
    <n v="358462.4411"/>
    <n v="1230323.051"/>
    <n v="571.38797099999999"/>
    <n v="0"/>
    <n v="154931.57440000001"/>
    <x v="123"/>
    <x v="91"/>
    <n v="34908.092839999998"/>
    <n v="198.8485"/>
    <n v="198.82849999999999"/>
    <n v="0.02"/>
    <n v="357891.05320000002"/>
  </r>
  <r>
    <x v="11"/>
    <n v="2"/>
    <x v="4"/>
    <x v="0"/>
    <n v="2293907.7310000001"/>
    <n v="1230323.051"/>
    <n v="1063133.514"/>
    <x v="122"/>
    <n v="524023.38010000001"/>
    <x v="124"/>
    <n v="274576.0417"/>
    <n v="1742413.29"/>
    <n v="451.165615"/>
    <n v="0"/>
    <n v="211148.00810000001"/>
    <x v="124"/>
    <x v="92"/>
    <n v="37902.169600000001"/>
    <n v="397.16072000000003"/>
    <n v="397.16072000000003"/>
    <n v="0"/>
    <n v="274124.87609999999"/>
  </r>
  <r>
    <x v="11"/>
    <n v="3"/>
    <x v="5"/>
    <x v="0"/>
    <n v="2992620.68"/>
    <n v="1742413.29"/>
    <n v="1249593.848"/>
    <x v="123"/>
    <n v="631045.72790000006"/>
    <x v="125"/>
    <n v="396044.68709999998"/>
    <n v="2324459.716"/>
    <n v="613.54145389999996"/>
    <n v="0"/>
    <n v="187983.76860000001"/>
    <x v="125"/>
    <x v="93"/>
    <n v="46741.272219999999"/>
    <n v="276"/>
    <n v="276"/>
    <n v="0"/>
    <n v="395431.14559999999"/>
  </r>
  <r>
    <x v="11"/>
    <n v="4"/>
    <x v="6"/>
    <x v="0"/>
    <n v="3411539.3840000001"/>
    <n v="2324459.716"/>
    <n v="1086367.531"/>
    <x v="124"/>
    <n v="607534.13089999999"/>
    <x v="126"/>
    <n v="384317.217"/>
    <n v="2790299.4610000001"/>
    <n v="712.13737100000003"/>
    <n v="0"/>
    <n v="179868.56390000001"/>
    <x v="126"/>
    <x v="94"/>
    <n v="43187.349929999997"/>
    <n v="161"/>
    <n v="161"/>
    <n v="0"/>
    <n v="383605.0797"/>
  </r>
  <r>
    <x v="11"/>
    <n v="5"/>
    <x v="7"/>
    <x v="0"/>
    <n v="3387674.5920000002"/>
    <n v="2790299.4610000001"/>
    <n v="596827.81499999994"/>
    <x v="125"/>
    <n v="455233.8026"/>
    <x v="127"/>
    <n v="246142.0466"/>
    <n v="2925444.5210000002"/>
    <n v="547.31600400000002"/>
    <n v="0"/>
    <n v="170305.8916"/>
    <x v="127"/>
    <x v="95"/>
    <n v="38686.083749999998"/>
    <n v="99.780720000000002"/>
    <n v="99.780720000000002"/>
    <n v="0"/>
    <n v="245594.73060000001"/>
  </r>
  <r>
    <x v="11"/>
    <n v="6"/>
    <x v="8"/>
    <x v="0"/>
    <n v="3026349.4709999999"/>
    <n v="2925444.5210000002"/>
    <n v="100218.83500000001"/>
    <x v="126"/>
    <n v="570758.29260000004"/>
    <x v="128"/>
    <n v="395250.16070000001"/>
    <n v="2435067.4470000002"/>
    <n v="686.11417659999995"/>
    <n v="0"/>
    <n v="130904.7644"/>
    <x v="128"/>
    <x v="96"/>
    <n v="44443.367469999997"/>
    <n v="160"/>
    <n v="160"/>
    <n v="0"/>
    <n v="394564.0465"/>
  </r>
  <r>
    <x v="11"/>
    <n v="7"/>
    <x v="9"/>
    <x v="0"/>
    <n v="2445296.4419999998"/>
    <n v="2435067.4470000002"/>
    <n v="9707.26"/>
    <x v="127"/>
    <n v="458485.15820000001"/>
    <x v="129"/>
    <n v="333546.4044"/>
    <n v="1979887.2479999999"/>
    <n v="521.73518130000002"/>
    <n v="0"/>
    <n v="86744.332769999994"/>
    <x v="129"/>
    <x v="97"/>
    <n v="38094.821020000003"/>
    <n v="99.6"/>
    <n v="99.6"/>
    <n v="0"/>
    <n v="333024.6692"/>
  </r>
  <r>
    <x v="11"/>
    <n v="8"/>
    <x v="10"/>
    <x v="0"/>
    <n v="1980691.95"/>
    <n v="1979887.2479999999"/>
    <n v="0"/>
    <x v="128"/>
    <n v="545449.92070000002"/>
    <x v="130"/>
    <n v="324803.1176"/>
    <n v="1430810.054"/>
    <n v="804.701686"/>
    <n v="0"/>
    <n v="167388.70439999999"/>
    <x v="130"/>
    <x v="98"/>
    <n v="52394.098660000003"/>
    <n v="864"/>
    <n v="100"/>
    <n v="764"/>
    <n v="323998.41590000002"/>
  </r>
  <r>
    <x v="11"/>
    <n v="9"/>
    <x v="11"/>
    <x v="0"/>
    <n v="1431235.335"/>
    <n v="1430810.054"/>
    <n v="0"/>
    <x v="129"/>
    <n v="458390.29"/>
    <x v="131"/>
    <n v="326007.63669999997"/>
    <n v="964272.65430000005"/>
    <n v="425.28126880000002"/>
    <n v="0"/>
    <n v="65825.671000000002"/>
    <x v="131"/>
    <x v="99"/>
    <n v="66317.701920000007"/>
    <n v="239.28036"/>
    <n v="159.78036"/>
    <n v="79.5"/>
    <n v="325582.3554"/>
  </r>
  <r>
    <x v="11"/>
    <n v="10"/>
    <x v="0"/>
    <x v="0"/>
    <n v="964895.15910000005"/>
    <n v="964272.65430000005"/>
    <n v="0"/>
    <x v="130"/>
    <n v="376046.86109999998"/>
    <x v="132"/>
    <n v="339153.49849999999"/>
    <n v="587925.24399999995"/>
    <n v="622.50477720000004"/>
    <n v="0"/>
    <n v="2748.8047999999999"/>
    <x v="132"/>
    <x v="100"/>
    <n v="33574.957829999999"/>
    <n v="569.6"/>
    <n v="0"/>
    <n v="569.6"/>
    <n v="338530.99369999999"/>
  </r>
  <r>
    <x v="11"/>
    <n v="11"/>
    <x v="1"/>
    <x v="0"/>
    <n v="717151.44759999996"/>
    <n v="587925.24399999995"/>
    <n v="128564.416"/>
    <x v="131"/>
    <n v="377907.60060000001"/>
    <x v="133"/>
    <n v="315689.03690000001"/>
    <n v="339243.84700000001"/>
    <n v="661.78759400000001"/>
    <n v="0"/>
    <n v="28317.317500000001"/>
    <x v="133"/>
    <x v="101"/>
    <n v="33587.22322"/>
    <n v="314.02300000000002"/>
    <n v="314.02300000000002"/>
    <n v="0"/>
    <n v="315027.24930000002"/>
  </r>
  <r>
    <x v="11"/>
    <n v="12"/>
    <x v="2"/>
    <x v="0"/>
    <n v="1068236.3810000001"/>
    <n v="339243.84700000001"/>
    <n v="728641.83200000005"/>
    <x v="132"/>
    <n v="414555.3063"/>
    <x v="134"/>
    <n v="316330.78570000001"/>
    <n v="653681.0747"/>
    <n v="350.70200260000001"/>
    <n v="0"/>
    <n v="65017.944779999998"/>
    <x v="134"/>
    <x v="102"/>
    <n v="32427.815839999999"/>
    <n v="778.76"/>
    <n v="778.76"/>
    <n v="0"/>
    <n v="315980.08360000001"/>
  </r>
  <r>
    <x v="12"/>
    <n v="1"/>
    <x v="3"/>
    <x v="0"/>
    <n v="1714226.4909999999"/>
    <n v="653681.0747"/>
    <n v="1060226.145"/>
    <x v="133"/>
    <n v="588214.32620000001"/>
    <x v="135"/>
    <n v="397355.83980000002"/>
    <n v="1125941.656"/>
    <n v="319.27150599999999"/>
    <n v="0"/>
    <n v="161125.61499999999"/>
    <x v="135"/>
    <x v="0"/>
    <n v="29554.11146"/>
    <n v="178.76"/>
    <n v="178.76"/>
    <n v="0"/>
    <n v="397036.56829999998"/>
  </r>
  <r>
    <x v="12"/>
    <n v="2"/>
    <x v="4"/>
    <x v="0"/>
    <n v="2148198.4339999999"/>
    <n v="1125941.656"/>
    <n v="1021935.78"/>
    <x v="134"/>
    <n v="544038.03570000001"/>
    <x v="136"/>
    <n v="338690.36290000001"/>
    <n v="1602864.399"/>
    <n v="320.99821980000002"/>
    <n v="0"/>
    <n v="178224.10930000001"/>
    <x v="136"/>
    <x v="103"/>
    <n v="26643.563460000001"/>
    <n v="480"/>
    <n v="480"/>
    <n v="0"/>
    <n v="338369.36469999998"/>
  </r>
  <r>
    <x v="12"/>
    <n v="3"/>
    <x v="5"/>
    <x v="0"/>
    <n v="2727196.2059999998"/>
    <n v="1602864.399"/>
    <n v="1122222.69"/>
    <x v="135"/>
    <n v="558689.21860000002"/>
    <x v="137"/>
    <n v="380835.92180000001"/>
    <n v="2166835.4870000002"/>
    <n v="2109.117088"/>
    <n v="0"/>
    <n v="137251.6586"/>
    <x v="137"/>
    <x v="104"/>
    <n v="40122.778209999997"/>
    <n v="478.86"/>
    <n v="478.76"/>
    <n v="0.1"/>
    <n v="378726.80469999998"/>
  </r>
  <r>
    <x v="12"/>
    <n v="4"/>
    <x v="6"/>
    <x v="0"/>
    <n v="2995719.9879999999"/>
    <n v="2166835.4870000002"/>
    <n v="821798.02899999998"/>
    <x v="136"/>
    <n v="487394.3088"/>
    <x v="138"/>
    <n v="364029.55910000001"/>
    <n v="2507802.7420000001"/>
    <n v="7086.4717799999999"/>
    <n v="0"/>
    <n v="99449.552679999993"/>
    <x v="138"/>
    <x v="105"/>
    <n v="23875.19702"/>
    <n v="40"/>
    <n v="40"/>
    <n v="0"/>
    <n v="356943.08730000001"/>
  </r>
  <r>
    <x v="12"/>
    <n v="5"/>
    <x v="7"/>
    <x v="0"/>
    <n v="2859463.8480000002"/>
    <n v="2507802.7420000001"/>
    <n v="322316.17300000001"/>
    <x v="137"/>
    <n v="577226.40579999995"/>
    <x v="139"/>
    <n v="458150.61499999999"/>
    <n v="2281150.8429999999"/>
    <n v="29344.93333"/>
    <n v="0"/>
    <n v="84754.880279999998"/>
    <x v="139"/>
    <x v="106"/>
    <n v="34180.910479999999"/>
    <n v="140"/>
    <n v="140"/>
    <n v="0"/>
    <n v="428805.68170000002"/>
  </r>
  <r>
    <x v="12"/>
    <n v="6"/>
    <x v="8"/>
    <x v="0"/>
    <n v="2355462.8530000001"/>
    <n v="2281150.8429999999"/>
    <n v="18542.7"/>
    <x v="138"/>
    <n v="505031.7697"/>
    <x v="140"/>
    <n v="344001.47110000002"/>
    <n v="1850079.693"/>
    <n v="55769.310129999998"/>
    <n v="0"/>
    <n v="131839.1329"/>
    <x v="140"/>
    <x v="107"/>
    <n v="29171.16574"/>
    <n v="20"/>
    <n v="20"/>
    <n v="0"/>
    <n v="288232.16100000002"/>
  </r>
  <r>
    <x v="12"/>
    <n v="7"/>
    <x v="9"/>
    <x v="0"/>
    <n v="1923102.128"/>
    <n v="1850079.693"/>
    <n v="0"/>
    <x v="139"/>
    <n v="441818.83889999997"/>
    <x v="141"/>
    <n v="361377.96860000002"/>
    <n v="1481283.2890000001"/>
    <n v="73022.43492"/>
    <n v="0"/>
    <n v="52039.393559999997"/>
    <x v="141"/>
    <x v="0"/>
    <n v="28401.226739999998"/>
    <n v="0.25"/>
    <n v="0"/>
    <n v="0.25"/>
    <n v="288355.53370000003"/>
  </r>
  <r>
    <x v="12"/>
    <n v="8"/>
    <x v="10"/>
    <x v="0"/>
    <n v="1535049.87"/>
    <n v="1481283.2890000001"/>
    <n v="0"/>
    <x v="140"/>
    <n v="414105.45169999998"/>
    <x v="142"/>
    <n v="308300.19010000001"/>
    <n v="1120944.4180000001"/>
    <n v="53766.580710000002"/>
    <n v="0"/>
    <n v="68606.728080000001"/>
    <x v="142"/>
    <x v="0"/>
    <n v="37178.53357"/>
    <n v="20"/>
    <n v="20"/>
    <n v="0"/>
    <n v="254533.60939999999"/>
  </r>
  <r>
    <x v="12"/>
    <n v="9"/>
    <x v="11"/>
    <x v="0"/>
    <n v="1164082.8640000001"/>
    <n v="1120944.4180000001"/>
    <n v="0"/>
    <x v="141"/>
    <n v="328992.04810000001"/>
    <x v="143"/>
    <n v="269283.30209999997"/>
    <n v="835090.81550000003"/>
    <n v="43138.445610000002"/>
    <n v="0"/>
    <n v="21681.110120000001"/>
    <x v="143"/>
    <x v="0"/>
    <n v="38027.635840000003"/>
    <n v="0"/>
    <n v="0"/>
    <n v="0"/>
    <n v="226144.85649999999"/>
  </r>
  <r>
    <x v="12"/>
    <n v="10"/>
    <x v="0"/>
    <x v="0"/>
    <n v="876466.75069999998"/>
    <n v="835090.81550000003"/>
    <n v="0"/>
    <x v="142"/>
    <n v="338982.45370000001"/>
    <x v="144"/>
    <n v="316297.87310000003"/>
    <n v="537465.66099999996"/>
    <n v="41375.935219999999"/>
    <n v="0"/>
    <n v="0"/>
    <x v="144"/>
    <x v="0"/>
    <n v="22684.58065"/>
    <n v="0"/>
    <n v="0"/>
    <n v="0"/>
    <n v="274921.93790000002"/>
  </r>
  <r>
    <x v="12"/>
    <n v="11"/>
    <x v="1"/>
    <x v="0"/>
    <n v="713511.23470000003"/>
    <n v="537465.66099999996"/>
    <n v="83231.13"/>
    <x v="143"/>
    <n v="380648.32069999998"/>
    <x v="145"/>
    <n v="340318.38540000003"/>
    <n v="332862.91399999999"/>
    <n v="92814.443650000001"/>
    <n v="0"/>
    <n v="18534.356"/>
    <x v="145"/>
    <x v="0"/>
    <n v="21795.57922"/>
    <n v="0"/>
    <n v="0"/>
    <n v="0"/>
    <n v="247503.9418"/>
  </r>
  <r>
    <x v="12"/>
    <n v="12"/>
    <x v="2"/>
    <x v="0"/>
    <n v="941001.25419999997"/>
    <n v="332862.91399999999"/>
    <n v="539191.50600000005"/>
    <x v="144"/>
    <n v="394649.04590000003"/>
    <x v="146"/>
    <n v="336562.56760000001"/>
    <n v="546352.20830000006"/>
    <n v="68946.834149999995"/>
    <n v="0"/>
    <n v="41301.569000000003"/>
    <x v="146"/>
    <x v="0"/>
    <n v="16426.149310000001"/>
    <n v="358.76"/>
    <n v="358.76"/>
    <n v="0"/>
    <n v="267615.73340000003"/>
  </r>
  <r>
    <x v="13"/>
    <n v="1"/>
    <x v="3"/>
    <x v="0"/>
    <n v="1490922.4950000001"/>
    <n v="546352.20830000006"/>
    <n v="850325.44900000002"/>
    <x v="145"/>
    <n v="499801.90950000001"/>
    <x v="147"/>
    <n v="417458.5577"/>
    <n v="991120.58499999996"/>
    <n v="94244.837289999996"/>
    <n v="0"/>
    <n v="60200.031000000003"/>
    <x v="147"/>
    <x v="0"/>
    <n v="22004.060829999999"/>
    <n v="139.26"/>
    <n v="138.76"/>
    <n v="0.5"/>
    <n v="323213.72039999999"/>
  </r>
  <r>
    <x v="13"/>
    <n v="2"/>
    <x v="4"/>
    <x v="0"/>
    <n v="1995867.5970000001"/>
    <n v="991120.58499999996"/>
    <n v="930506.01300000004"/>
    <x v="146"/>
    <n v="509997.91850000003"/>
    <x v="148"/>
    <n v="383055.3334"/>
    <n v="1485869.679"/>
    <n v="74240.999490000002"/>
    <n v="0"/>
    <n v="108911.605"/>
    <x v="148"/>
    <x v="0"/>
    <n v="17870.98011"/>
    <n v="160"/>
    <n v="160"/>
    <n v="0"/>
    <n v="308814.33390000003"/>
  </r>
  <r>
    <x v="13"/>
    <n v="3"/>
    <x v="5"/>
    <x v="0"/>
    <n v="2532215.3990000002"/>
    <n v="1485869.679"/>
    <n v="982982.93900000001"/>
    <x v="147"/>
    <n v="457172.83419999998"/>
    <x v="149"/>
    <n v="318448.89640000003"/>
    <n v="2075042.5649999999"/>
    <n v="63362.781199999998"/>
    <n v="0"/>
    <n v="105103.06299999999"/>
    <x v="149"/>
    <x v="0"/>
    <n v="33520.874770000002"/>
    <n v="100"/>
    <n v="100"/>
    <n v="0"/>
    <n v="255086.1152"/>
  </r>
  <r>
    <x v="13"/>
    <n v="4"/>
    <x v="6"/>
    <x v="0"/>
    <n v="3012859.054"/>
    <n v="2075042.5649999999"/>
    <n v="877670.62300000002"/>
    <x v="148"/>
    <n v="425549.90220000001"/>
    <x v="150"/>
    <n v="390374.70079999999"/>
    <n v="2587309.1519999998"/>
    <n v="60145.86623"/>
    <n v="0"/>
    <n v="12756.45"/>
    <x v="150"/>
    <x v="0"/>
    <n v="22418.751459999999"/>
    <n v="0"/>
    <n v="0"/>
    <n v="0"/>
    <n v="330228.8345"/>
  </r>
  <r>
    <x v="13"/>
    <n v="5"/>
    <x v="7"/>
    <x v="0"/>
    <n v="3045627.1290000002"/>
    <n v="2587309.1519999998"/>
    <n v="390430.11300000001"/>
    <x v="149"/>
    <n v="408708.1594"/>
    <x v="151"/>
    <n v="333846.67310000001"/>
    <n v="2636918.9700000002"/>
    <n v="67887.863949999999"/>
    <n v="0"/>
    <n v="58886.837"/>
    <x v="151"/>
    <x v="0"/>
    <n v="15974.649310000001"/>
    <n v="0"/>
    <n v="0"/>
    <n v="0"/>
    <n v="265958.80920000002"/>
  </r>
  <r>
    <x v="13"/>
    <n v="6"/>
    <x v="8"/>
    <x v="0"/>
    <n v="2726707.3289999999"/>
    <n v="2636918.9700000002"/>
    <n v="47266.559000000001"/>
    <x v="150"/>
    <n v="365156.51980000001"/>
    <x v="152"/>
    <n v="323629.21490000002"/>
    <n v="2361550.8089999999"/>
    <n v="42521.800309999999"/>
    <n v="0"/>
    <n v="17867.648000000001"/>
    <x v="152"/>
    <x v="0"/>
    <n v="23639.656910000002"/>
    <n v="20"/>
    <n v="20"/>
    <n v="0"/>
    <n v="281107.41460000002"/>
  </r>
  <r>
    <x v="13"/>
    <n v="7"/>
    <x v="9"/>
    <x v="0"/>
    <n v="2408656.66"/>
    <n v="2361550.8089999999"/>
    <n v="1943.057"/>
    <x v="151"/>
    <n v="370069.28509999998"/>
    <x v="153"/>
    <n v="342329.1617"/>
    <n v="2038473.0689999999"/>
    <n v="45162.794099999999"/>
    <n v="0"/>
    <n v="9078.3790000000008"/>
    <x v="153"/>
    <x v="0"/>
    <n v="18661.744429999999"/>
    <n v="0"/>
    <n v="0"/>
    <n v="0"/>
    <n v="297166.3676"/>
  </r>
  <r>
    <x v="13"/>
    <n v="8"/>
    <x v="10"/>
    <x v="0"/>
    <n v="2078422.801"/>
    <n v="2038473.0689999999"/>
    <n v="0"/>
    <x v="152"/>
    <n v="355075.47730000003"/>
    <x v="154"/>
    <n v="330209.00540000002"/>
    <n v="1723188.6029999999"/>
    <n v="39949.732259999997"/>
    <n v="0"/>
    <n v="5917.8648499999999"/>
    <x v="154"/>
    <x v="0"/>
    <n v="18948.607059999998"/>
    <n v="0"/>
    <n v="0"/>
    <n v="0"/>
    <n v="290259.27309999999"/>
  </r>
  <r>
    <x v="13"/>
    <n v="9"/>
    <x v="11"/>
    <x v="0"/>
    <n v="1754059.2080000001"/>
    <n v="1723188.6029999999"/>
    <n v="0"/>
    <x v="153"/>
    <n v="335966.2856"/>
    <x v="155"/>
    <n v="294023.8713"/>
    <n v="1417934.0719999999"/>
    <n v="30870.60543"/>
    <n v="0"/>
    <n v="11452.031999999999"/>
    <x v="155"/>
    <x v="0"/>
    <n v="30452.900099999999"/>
    <n v="37.482239999999997"/>
    <n v="37.482239999999997"/>
    <n v="0"/>
    <n v="263153.2659"/>
  </r>
  <r>
    <x v="13"/>
    <n v="10"/>
    <x v="0"/>
    <x v="0"/>
    <n v="1442847.746"/>
    <n v="1417934.0719999999"/>
    <n v="0"/>
    <x v="154"/>
    <n v="385513.1274"/>
    <x v="156"/>
    <n v="368616.9817"/>
    <n v="1055082.378"/>
    <n v="24913.67455"/>
    <n v="0"/>
    <n v="5000"/>
    <x v="144"/>
    <x v="108"/>
    <n v="11896.14565"/>
    <n v="0"/>
    <n v="0"/>
    <n v="0"/>
    <n v="343703.30719999998"/>
  </r>
  <r>
    <x v="13"/>
    <n v="11"/>
    <x v="1"/>
    <x v="0"/>
    <n v="1140243.1740000001"/>
    <n v="1055082.378"/>
    <n v="61557.197999999997"/>
    <x v="155"/>
    <n v="376772.88219999999"/>
    <x v="157"/>
    <n v="301109.8934"/>
    <n v="755976.50600000005"/>
    <n v="23603.59822"/>
    <n v="0"/>
    <n v="59065.11"/>
    <x v="144"/>
    <x v="109"/>
    <n v="16597.878830000001"/>
    <n v="0"/>
    <n v="0"/>
    <n v="0"/>
    <n v="277506.29519999999"/>
  </r>
  <r>
    <x v="13"/>
    <n v="12"/>
    <x v="2"/>
    <x v="0"/>
    <n v="1317252.2819999999"/>
    <n v="755976.50600000005"/>
    <n v="531230.36399999994"/>
    <x v="156"/>
    <n v="430423.45779999997"/>
    <x v="158"/>
    <n v="357917.13640000002"/>
    <n v="879369.15330000001"/>
    <n v="30045.412049999999"/>
    <n v="0"/>
    <n v="54350.517999999996"/>
    <x v="156"/>
    <x v="110"/>
    <n v="17955.803380000001"/>
    <n v="200"/>
    <n v="200"/>
    <n v="0"/>
    <n v="327871.72440000001"/>
  </r>
  <r>
    <x v="14"/>
    <n v="1"/>
    <x v="3"/>
    <x v="0"/>
    <n v="1754332.7779999999"/>
    <n v="879369.15330000001"/>
    <n v="862943.08600000001"/>
    <x v="157"/>
    <n v="418887.1189"/>
    <x v="159"/>
    <n v="299567.96039999998"/>
    <n v="1322859.1089999999"/>
    <n v="12020.53865"/>
    <n v="0"/>
    <n v="102050.715"/>
    <x v="157"/>
    <x v="111"/>
    <n v="17208.443469999998"/>
    <n v="60"/>
    <n v="60"/>
    <n v="0"/>
    <n v="287547.42180000001"/>
  </r>
  <r>
    <x v="14"/>
    <n v="2"/>
    <x v="4"/>
    <x v="0"/>
    <n v="2248271.7000000002"/>
    <n v="1322859.1089999999"/>
    <n v="911717.10400000005"/>
    <x v="158"/>
    <n v="431118.71049999999"/>
    <x v="160"/>
    <n v="259348.5926"/>
    <n v="1817133.395"/>
    <n v="13695.48747"/>
    <n v="0"/>
    <n v="144527.39980000001"/>
    <x v="158"/>
    <x v="112"/>
    <n v="21634.044109999999"/>
    <n v="5608.674"/>
    <n v="40"/>
    <n v="5568.674"/>
    <n v="245653.10509999999"/>
  </r>
  <r>
    <x v="14"/>
    <n v="3"/>
    <x v="5"/>
    <x v="0"/>
    <n v="2915237.679"/>
    <n v="1817133.395"/>
    <n v="1085141.7379999999"/>
    <x v="159"/>
    <n v="398039.47820000001"/>
    <x v="161"/>
    <n v="326922.66009999998"/>
    <n v="2506343.219"/>
    <n v="12962.54624"/>
    <n v="0"/>
    <n v="48217.398000000001"/>
    <x v="159"/>
    <x v="113"/>
    <n v="22759.560119999998"/>
    <n v="139.86000000000001"/>
    <n v="139.86000000000001"/>
    <n v="0"/>
    <n v="313960.1139"/>
  </r>
  <r>
    <x v="14"/>
    <n v="4"/>
    <x v="6"/>
    <x v="0"/>
    <n v="3392751.1719999998"/>
    <n v="2506343.219"/>
    <n v="877274.15700000001"/>
    <x v="160"/>
    <n v="507263.17190000002"/>
    <x v="162"/>
    <n v="414139.81819999998"/>
    <n v="2882041.1669999999"/>
    <n v="9133.7958629999994"/>
    <n v="0"/>
    <n v="63129.532800000001"/>
    <x v="160"/>
    <x v="114"/>
    <n v="29953.82087"/>
    <n v="40"/>
    <n v="40"/>
    <n v="0"/>
    <n v="405006.02230000001"/>
  </r>
  <r>
    <x v="14"/>
    <n v="5"/>
    <x v="7"/>
    <x v="0"/>
    <n v="3288382.0520000001"/>
    <n v="2882041.1669999999"/>
    <n v="399118"/>
    <x v="161"/>
    <n v="465451.81449999998"/>
    <x v="163"/>
    <n v="269356.4094"/>
    <n v="2806670.6710000001"/>
    <n v="7222.8845179999998"/>
    <n v="0"/>
    <n v="168096.761"/>
    <x v="161"/>
    <x v="115"/>
    <n v="27998.644100000001"/>
    <n v="0"/>
    <n v="0"/>
    <n v="0"/>
    <n v="262133.52489999999"/>
  </r>
  <r>
    <x v="14"/>
    <n v="6"/>
    <x v="8"/>
    <x v="0"/>
    <n v="2856155.6269999999"/>
    <n v="2806670.6710000001"/>
    <n v="38434.004000000001"/>
    <x v="162"/>
    <n v="463189.16200000001"/>
    <x v="164"/>
    <n v="392877.1496"/>
    <n v="2392966.4649999999"/>
    <n v="11050.95196"/>
    <n v="0"/>
    <n v="51299.116999999998"/>
    <x v="162"/>
    <x v="116"/>
    <n v="18953.895400000001"/>
    <n v="59"/>
    <n v="59"/>
    <n v="0"/>
    <n v="381826.19760000001"/>
  </r>
  <r>
    <x v="14"/>
    <n v="7"/>
    <x v="9"/>
    <x v="0"/>
    <n v="2406258.8139999998"/>
    <n v="2392966.4649999999"/>
    <n v="3109.7"/>
    <x v="163"/>
    <n v="426589.47850000003"/>
    <x v="165"/>
    <n v="330223.72460000002"/>
    <n v="1971452.7279999999"/>
    <n v="10182.64947"/>
    <n v="0"/>
    <n v="70535.408920000002"/>
    <x v="163"/>
    <x v="117"/>
    <n v="25790.344980000002"/>
    <n v="40"/>
    <n v="40"/>
    <n v="0"/>
    <n v="320041.07510000002"/>
  </r>
  <r>
    <x v="14"/>
    <n v="8"/>
    <x v="10"/>
    <x v="0"/>
    <n v="1977415.7420000001"/>
    <n v="1971452.7279999999"/>
    <n v="0"/>
    <x v="164"/>
    <n v="356619.53029999998"/>
    <x v="166"/>
    <n v="275866.663"/>
    <n v="1555663.6880000001"/>
    <n v="5963.0142669999996"/>
    <n v="0"/>
    <n v="27801.884709999998"/>
    <x v="164"/>
    <x v="118"/>
    <n v="52810.982519999998"/>
    <n v="140"/>
    <n v="140"/>
    <n v="0"/>
    <n v="269903.64880000002"/>
  </r>
  <r>
    <x v="14"/>
    <n v="9"/>
    <x v="11"/>
    <x v="0"/>
    <n v="1561747.4129999999"/>
    <n v="1555663.6880000001"/>
    <n v="0"/>
    <x v="165"/>
    <n v="411535.99119999999"/>
    <x v="167"/>
    <n v="317538.54800000001"/>
    <n v="1123129.1810000001"/>
    <n v="6083.7250709999998"/>
    <n v="0"/>
    <n v="47131.25273"/>
    <x v="165"/>
    <x v="119"/>
    <n v="46489.190479999997"/>
    <n v="377"/>
    <n v="377"/>
    <n v="0"/>
    <n v="311454.82290000003"/>
  </r>
  <r>
    <x v="14"/>
    <n v="10"/>
    <x v="0"/>
    <x v="0"/>
    <n v="1127067.9820000001"/>
    <n v="1123129.1810000001"/>
    <n v="0"/>
    <x v="166"/>
    <n v="362113.12699999998"/>
    <x v="168"/>
    <n v="307346.61099999998"/>
    <n v="762129.54099999997"/>
    <n v="3938.8010869999998"/>
    <n v="0"/>
    <n v="40667.016000000003"/>
    <x v="166"/>
    <x v="120"/>
    <n v="14079.5"/>
    <n v="20"/>
    <n v="20"/>
    <n v="0"/>
    <n v="303407.80989999999"/>
  </r>
  <r>
    <x v="14"/>
    <n v="11"/>
    <x v="1"/>
    <x v="0"/>
    <n v="824842.95380000002"/>
    <n v="762129.54099999997"/>
    <n v="61926.197"/>
    <x v="167"/>
    <n v="343512.11680000002"/>
    <x v="169"/>
    <n v="324718.87280000001"/>
    <n v="480511.50300000003"/>
    <n v="787.21578820000002"/>
    <n v="0"/>
    <n v="15817.632"/>
    <x v="167"/>
    <x v="121"/>
    <n v="2776.5"/>
    <n v="199.11199999999999"/>
    <n v="199.11199999999999"/>
    <n v="0"/>
    <n v="323931.65700000001"/>
  </r>
  <r>
    <x v="14"/>
    <n v="12"/>
    <x v="2"/>
    <x v="0"/>
    <n v="932630.76500000001"/>
    <n v="480511.50300000003"/>
    <n v="447573.51"/>
    <x v="168"/>
    <n v="382097.45010000002"/>
    <x v="170"/>
    <n v="348009.67009999999"/>
    <n v="547247.24289999995"/>
    <n v="4545.7520020000002"/>
    <n v="0"/>
    <n v="21095.397000000001"/>
    <x v="168"/>
    <x v="122"/>
    <n v="12618.067999999999"/>
    <n v="374.315"/>
    <n v="374.315"/>
    <n v="0"/>
    <n v="343463.91810000001"/>
  </r>
  <r>
    <x v="0"/>
    <n v="10"/>
    <x v="0"/>
    <x v="1"/>
    <n v="136752"/>
    <n v="0"/>
    <n v="39454"/>
    <x v="169"/>
    <n v="136752"/>
    <x v="171"/>
    <n v="135075"/>
    <n v="0"/>
    <m/>
    <m/>
    <m/>
    <x v="169"/>
    <x v="123"/>
    <m/>
    <m/>
    <m/>
    <m/>
    <m/>
  </r>
  <r>
    <x v="0"/>
    <n v="11"/>
    <x v="1"/>
    <x v="1"/>
    <n v="145492"/>
    <n v="0"/>
    <n v="37771"/>
    <x v="170"/>
    <n v="145492"/>
    <x v="172"/>
    <n v="143727"/>
    <n v="0"/>
    <m/>
    <m/>
    <m/>
    <x v="169"/>
    <x v="123"/>
    <m/>
    <m/>
    <m/>
    <m/>
    <m/>
  </r>
  <r>
    <x v="0"/>
    <n v="12"/>
    <x v="2"/>
    <x v="1"/>
    <n v="131507"/>
    <n v="0"/>
    <n v="39664"/>
    <x v="171"/>
    <n v="131507"/>
    <x v="173"/>
    <n v="129147"/>
    <n v="0"/>
    <m/>
    <m/>
    <m/>
    <x v="169"/>
    <x v="123"/>
    <m/>
    <m/>
    <m/>
    <m/>
    <m/>
  </r>
  <r>
    <x v="1"/>
    <n v="1"/>
    <x v="3"/>
    <x v="1"/>
    <n v="140398"/>
    <n v="0"/>
    <n v="40284"/>
    <x v="172"/>
    <n v="140398"/>
    <x v="174"/>
    <n v="138494"/>
    <n v="0"/>
    <m/>
    <m/>
    <m/>
    <x v="169"/>
    <x v="123"/>
    <m/>
    <m/>
    <m/>
    <m/>
    <m/>
  </r>
  <r>
    <x v="1"/>
    <n v="2"/>
    <x v="4"/>
    <x v="1"/>
    <n v="116229"/>
    <n v="0"/>
    <n v="34548"/>
    <x v="173"/>
    <n v="116229"/>
    <x v="175"/>
    <n v="114328"/>
    <n v="0"/>
    <m/>
    <m/>
    <m/>
    <x v="169"/>
    <x v="123"/>
    <m/>
    <m/>
    <m/>
    <m/>
    <m/>
  </r>
  <r>
    <x v="1"/>
    <n v="3"/>
    <x v="5"/>
    <x v="1"/>
    <n v="149414"/>
    <n v="0"/>
    <n v="38853"/>
    <x v="174"/>
    <n v="149414"/>
    <x v="176"/>
    <n v="147135"/>
    <n v="0"/>
    <m/>
    <m/>
    <m/>
    <x v="169"/>
    <x v="123"/>
    <m/>
    <m/>
    <m/>
    <m/>
    <m/>
  </r>
  <r>
    <x v="1"/>
    <n v="4"/>
    <x v="6"/>
    <x v="1"/>
    <n v="170819"/>
    <n v="0"/>
    <n v="40521"/>
    <x v="175"/>
    <n v="170819"/>
    <x v="177"/>
    <n v="168349"/>
    <n v="0"/>
    <m/>
    <m/>
    <m/>
    <x v="169"/>
    <x v="123"/>
    <m/>
    <m/>
    <m/>
    <m/>
    <m/>
  </r>
  <r>
    <x v="1"/>
    <n v="5"/>
    <x v="7"/>
    <x v="1"/>
    <n v="152341"/>
    <n v="0"/>
    <n v="39956"/>
    <x v="176"/>
    <n v="152341"/>
    <x v="178"/>
    <n v="150361"/>
    <n v="0"/>
    <m/>
    <m/>
    <m/>
    <x v="169"/>
    <x v="123"/>
    <m/>
    <m/>
    <m/>
    <m/>
    <m/>
  </r>
  <r>
    <x v="1"/>
    <n v="6"/>
    <x v="8"/>
    <x v="1"/>
    <n v="158433"/>
    <n v="0"/>
    <n v="41002"/>
    <x v="177"/>
    <n v="158433"/>
    <x v="179"/>
    <n v="156643"/>
    <n v="0"/>
    <m/>
    <m/>
    <m/>
    <x v="169"/>
    <x v="123"/>
    <m/>
    <m/>
    <m/>
    <m/>
    <m/>
  </r>
  <r>
    <x v="1"/>
    <n v="7"/>
    <x v="9"/>
    <x v="1"/>
    <n v="164638"/>
    <n v="0"/>
    <n v="42065"/>
    <x v="178"/>
    <n v="164638"/>
    <x v="180"/>
    <n v="162399"/>
    <n v="0"/>
    <m/>
    <m/>
    <m/>
    <x v="169"/>
    <x v="123"/>
    <m/>
    <m/>
    <m/>
    <m/>
    <m/>
  </r>
  <r>
    <x v="1"/>
    <n v="8"/>
    <x v="10"/>
    <x v="1"/>
    <n v="153468"/>
    <n v="0"/>
    <n v="43371"/>
    <x v="179"/>
    <n v="153468"/>
    <x v="181"/>
    <n v="151218"/>
    <n v="0"/>
    <m/>
    <m/>
    <m/>
    <x v="169"/>
    <x v="123"/>
    <m/>
    <m/>
    <m/>
    <m/>
    <m/>
  </r>
  <r>
    <x v="1"/>
    <n v="9"/>
    <x v="11"/>
    <x v="1"/>
    <n v="140137"/>
    <n v="0"/>
    <n v="39332"/>
    <x v="180"/>
    <n v="140137"/>
    <x v="182"/>
    <n v="138218"/>
    <n v="0"/>
    <m/>
    <m/>
    <m/>
    <x v="169"/>
    <x v="123"/>
    <m/>
    <m/>
    <m/>
    <m/>
    <m/>
  </r>
  <r>
    <x v="1"/>
    <n v="10"/>
    <x v="0"/>
    <x v="1"/>
    <n v="142020"/>
    <n v="0"/>
    <n v="42559"/>
    <x v="181"/>
    <n v="142020"/>
    <x v="183"/>
    <n v="139322"/>
    <n v="0"/>
    <m/>
    <m/>
    <m/>
    <x v="169"/>
    <x v="123"/>
    <m/>
    <m/>
    <m/>
    <m/>
    <m/>
  </r>
  <r>
    <x v="1"/>
    <n v="11"/>
    <x v="1"/>
    <x v="1"/>
    <n v="148162"/>
    <n v="0"/>
    <n v="41239"/>
    <x v="182"/>
    <n v="148162"/>
    <x v="184"/>
    <n v="145123"/>
    <n v="0"/>
    <m/>
    <m/>
    <m/>
    <x v="169"/>
    <x v="123"/>
    <m/>
    <m/>
    <m/>
    <m/>
    <m/>
  </r>
  <r>
    <x v="1"/>
    <n v="12"/>
    <x v="2"/>
    <x v="1"/>
    <n v="128602"/>
    <n v="0"/>
    <n v="42494"/>
    <x v="183"/>
    <n v="128602"/>
    <x v="185"/>
    <n v="126248"/>
    <n v="0"/>
    <m/>
    <m/>
    <m/>
    <x v="169"/>
    <x v="123"/>
    <m/>
    <m/>
    <m/>
    <m/>
    <m/>
  </r>
  <r>
    <x v="2"/>
    <n v="1"/>
    <x v="3"/>
    <x v="1"/>
    <n v="141946"/>
    <n v="0"/>
    <n v="40580"/>
    <x v="184"/>
    <n v="141946"/>
    <x v="186"/>
    <n v="139808"/>
    <n v="0"/>
    <m/>
    <m/>
    <m/>
    <x v="169"/>
    <x v="123"/>
    <m/>
    <m/>
    <m/>
    <m/>
    <m/>
  </r>
  <r>
    <x v="2"/>
    <n v="2"/>
    <x v="4"/>
    <x v="1"/>
    <n v="108404"/>
    <n v="0"/>
    <n v="40118"/>
    <x v="185"/>
    <n v="108404"/>
    <x v="187"/>
    <n v="106141"/>
    <n v="0"/>
    <m/>
    <m/>
    <m/>
    <x v="169"/>
    <x v="123"/>
    <m/>
    <m/>
    <m/>
    <m/>
    <m/>
  </r>
  <r>
    <x v="2"/>
    <n v="3"/>
    <x v="5"/>
    <x v="1"/>
    <n v="128503"/>
    <n v="0"/>
    <n v="41376"/>
    <x v="186"/>
    <n v="128503"/>
    <x v="188"/>
    <n v="125952"/>
    <n v="0"/>
    <m/>
    <m/>
    <m/>
    <x v="169"/>
    <x v="123"/>
    <m/>
    <m/>
    <m/>
    <m/>
    <m/>
  </r>
  <r>
    <x v="2"/>
    <n v="4"/>
    <x v="6"/>
    <x v="1"/>
    <n v="140594"/>
    <n v="0"/>
    <n v="40416"/>
    <x v="187"/>
    <n v="140594"/>
    <x v="189"/>
    <n v="137607"/>
    <n v="0"/>
    <m/>
    <m/>
    <m/>
    <x v="169"/>
    <x v="123"/>
    <m/>
    <m/>
    <m/>
    <m/>
    <m/>
  </r>
  <r>
    <x v="2"/>
    <n v="5"/>
    <x v="7"/>
    <x v="1"/>
    <n v="130115"/>
    <n v="0"/>
    <n v="41674"/>
    <x v="188"/>
    <n v="130115"/>
    <x v="190"/>
    <n v="127623"/>
    <n v="0"/>
    <m/>
    <m/>
    <m/>
    <x v="169"/>
    <x v="123"/>
    <m/>
    <m/>
    <m/>
    <m/>
    <m/>
  </r>
  <r>
    <x v="2"/>
    <n v="6"/>
    <x v="8"/>
    <x v="1"/>
    <n v="124066"/>
    <n v="0"/>
    <n v="40100"/>
    <x v="189"/>
    <n v="124066"/>
    <x v="191"/>
    <n v="121235"/>
    <n v="0"/>
    <m/>
    <m/>
    <m/>
    <x v="169"/>
    <x v="123"/>
    <m/>
    <m/>
    <m/>
    <m/>
    <m/>
  </r>
  <r>
    <x v="2"/>
    <n v="7"/>
    <x v="9"/>
    <x v="1"/>
    <n v="143046"/>
    <n v="0"/>
    <n v="41192"/>
    <x v="190"/>
    <n v="143046"/>
    <x v="192"/>
    <n v="140023"/>
    <n v="0"/>
    <m/>
    <m/>
    <m/>
    <x v="169"/>
    <x v="123"/>
    <m/>
    <m/>
    <m/>
    <m/>
    <m/>
  </r>
  <r>
    <x v="2"/>
    <n v="8"/>
    <x v="10"/>
    <x v="1"/>
    <n v="138288"/>
    <n v="0"/>
    <n v="41198"/>
    <x v="191"/>
    <n v="138288"/>
    <x v="193"/>
    <n v="135256"/>
    <n v="0"/>
    <m/>
    <m/>
    <m/>
    <x v="169"/>
    <x v="123"/>
    <m/>
    <m/>
    <m/>
    <m/>
    <m/>
  </r>
  <r>
    <x v="2"/>
    <n v="9"/>
    <x v="11"/>
    <x v="1"/>
    <n v="125732"/>
    <n v="0"/>
    <n v="41177"/>
    <x v="192"/>
    <n v="125732"/>
    <x v="194"/>
    <n v="122861"/>
    <n v="0"/>
    <m/>
    <m/>
    <m/>
    <x v="169"/>
    <x v="123"/>
    <m/>
    <m/>
    <m/>
    <m/>
    <m/>
  </r>
  <r>
    <x v="2"/>
    <n v="10"/>
    <x v="0"/>
    <x v="1"/>
    <n v="116751"/>
    <n v="0"/>
    <n v="42186"/>
    <x v="193"/>
    <n v="116751"/>
    <x v="195"/>
    <n v="113523"/>
    <n v="0"/>
    <m/>
    <m/>
    <m/>
    <x v="169"/>
    <x v="123"/>
    <m/>
    <m/>
    <m/>
    <m/>
    <m/>
  </r>
  <r>
    <x v="2"/>
    <n v="11"/>
    <x v="1"/>
    <x v="1"/>
    <n v="126498"/>
    <n v="0"/>
    <n v="41715"/>
    <x v="194"/>
    <n v="126498"/>
    <x v="196"/>
    <n v="123526"/>
    <n v="0"/>
    <m/>
    <m/>
    <m/>
    <x v="169"/>
    <x v="123"/>
    <m/>
    <m/>
    <m/>
    <m/>
    <m/>
  </r>
  <r>
    <x v="2"/>
    <n v="12"/>
    <x v="2"/>
    <x v="1"/>
    <n v="112131"/>
    <n v="0"/>
    <n v="43973"/>
    <x v="195"/>
    <n v="112131"/>
    <x v="197"/>
    <n v="109031"/>
    <n v="0"/>
    <m/>
    <m/>
    <m/>
    <x v="169"/>
    <x v="123"/>
    <m/>
    <m/>
    <m/>
    <m/>
    <m/>
  </r>
  <r>
    <x v="3"/>
    <n v="1"/>
    <x v="3"/>
    <x v="1"/>
    <n v="115706"/>
    <n v="0"/>
    <n v="41192"/>
    <x v="196"/>
    <n v="115706"/>
    <x v="198"/>
    <n v="112484"/>
    <n v="0"/>
    <m/>
    <m/>
    <m/>
    <x v="169"/>
    <x v="123"/>
    <m/>
    <m/>
    <m/>
    <m/>
    <m/>
  </r>
  <r>
    <x v="3"/>
    <n v="2"/>
    <x v="4"/>
    <x v="1"/>
    <n v="91134"/>
    <n v="0"/>
    <n v="38775"/>
    <x v="197"/>
    <n v="91134"/>
    <x v="199"/>
    <n v="88394"/>
    <n v="0"/>
    <m/>
    <m/>
    <m/>
    <x v="169"/>
    <x v="123"/>
    <m/>
    <m/>
    <m/>
    <m/>
    <m/>
  </r>
  <r>
    <x v="3"/>
    <n v="3"/>
    <x v="5"/>
    <x v="1"/>
    <n v="114794"/>
    <n v="0"/>
    <n v="41568"/>
    <x v="198"/>
    <n v="114794"/>
    <x v="200"/>
    <n v="111840"/>
    <n v="0"/>
    <m/>
    <m/>
    <m/>
    <x v="169"/>
    <x v="123"/>
    <m/>
    <m/>
    <m/>
    <m/>
    <m/>
  </r>
  <r>
    <x v="3"/>
    <n v="4"/>
    <x v="6"/>
    <x v="1"/>
    <n v="117336"/>
    <n v="0"/>
    <n v="41568"/>
    <x v="199"/>
    <n v="117336"/>
    <x v="201"/>
    <n v="113830"/>
    <n v="0"/>
    <m/>
    <m/>
    <m/>
    <x v="169"/>
    <x v="123"/>
    <m/>
    <m/>
    <m/>
    <m/>
    <m/>
  </r>
  <r>
    <x v="3"/>
    <n v="5"/>
    <x v="7"/>
    <x v="1"/>
    <n v="132600"/>
    <n v="0"/>
    <n v="41568"/>
    <x v="200"/>
    <n v="132600"/>
    <x v="202"/>
    <n v="128738"/>
    <n v="0"/>
    <m/>
    <m/>
    <m/>
    <x v="169"/>
    <x v="123"/>
    <m/>
    <m/>
    <m/>
    <m/>
    <m/>
  </r>
  <r>
    <x v="3"/>
    <n v="6"/>
    <x v="8"/>
    <x v="1"/>
    <n v="106442"/>
    <n v="0"/>
    <n v="41568"/>
    <x v="201"/>
    <n v="106442"/>
    <x v="203"/>
    <n v="103026"/>
    <n v="0"/>
    <m/>
    <m/>
    <m/>
    <x v="169"/>
    <x v="123"/>
    <m/>
    <m/>
    <m/>
    <m/>
    <m/>
  </r>
  <r>
    <x v="3"/>
    <n v="7"/>
    <x v="9"/>
    <x v="1"/>
    <n v="127580"/>
    <n v="0"/>
    <n v="41568"/>
    <x v="202"/>
    <n v="127580"/>
    <x v="204"/>
    <n v="123810"/>
    <n v="0"/>
    <m/>
    <m/>
    <m/>
    <x v="169"/>
    <x v="123"/>
    <m/>
    <m/>
    <m/>
    <m/>
    <m/>
  </r>
  <r>
    <x v="3"/>
    <n v="8"/>
    <x v="10"/>
    <x v="1"/>
    <n v="111194"/>
    <n v="0"/>
    <n v="41568"/>
    <x v="203"/>
    <n v="111194"/>
    <x v="205"/>
    <n v="108179"/>
    <n v="0"/>
    <m/>
    <m/>
    <m/>
    <x v="169"/>
    <x v="123"/>
    <m/>
    <m/>
    <m/>
    <m/>
    <m/>
  </r>
  <r>
    <x v="3"/>
    <n v="9"/>
    <x v="11"/>
    <x v="1"/>
    <n v="139189"/>
    <n v="0"/>
    <n v="41568"/>
    <x v="204"/>
    <n v="139189"/>
    <x v="206"/>
    <n v="135885"/>
    <n v="0"/>
    <m/>
    <m/>
    <m/>
    <x v="169"/>
    <x v="123"/>
    <m/>
    <m/>
    <m/>
    <m/>
    <m/>
  </r>
  <r>
    <x v="3"/>
    <n v="10"/>
    <x v="0"/>
    <x v="1"/>
    <n v="123918"/>
    <n v="0"/>
    <n v="41568"/>
    <x v="205"/>
    <n v="123918"/>
    <x v="207"/>
    <n v="120939"/>
    <n v="0"/>
    <m/>
    <m/>
    <m/>
    <x v="169"/>
    <x v="123"/>
    <m/>
    <m/>
    <m/>
    <m/>
    <m/>
  </r>
  <r>
    <x v="3"/>
    <n v="11"/>
    <x v="1"/>
    <x v="1"/>
    <n v="115231"/>
    <n v="0"/>
    <n v="41568"/>
    <x v="206"/>
    <n v="115231"/>
    <x v="208"/>
    <n v="112508"/>
    <n v="0"/>
    <m/>
    <m/>
    <m/>
    <x v="169"/>
    <x v="123"/>
    <m/>
    <m/>
    <m/>
    <m/>
    <m/>
  </r>
  <r>
    <x v="3"/>
    <n v="12"/>
    <x v="2"/>
    <x v="1"/>
    <n v="114435"/>
    <n v="0"/>
    <n v="41568"/>
    <x v="207"/>
    <n v="114435"/>
    <x v="209"/>
    <n v="111568"/>
    <n v="0"/>
    <m/>
    <m/>
    <m/>
    <x v="169"/>
    <x v="123"/>
    <m/>
    <m/>
    <m/>
    <m/>
    <m/>
  </r>
  <r>
    <x v="4"/>
    <n v="1"/>
    <x v="3"/>
    <x v="1"/>
    <n v="123370"/>
    <n v="0"/>
    <n v="41568"/>
    <x v="208"/>
    <n v="123370"/>
    <x v="210"/>
    <n v="120336"/>
    <n v="0"/>
    <m/>
    <m/>
    <m/>
    <x v="169"/>
    <x v="123"/>
    <m/>
    <m/>
    <m/>
    <m/>
    <m/>
  </r>
  <r>
    <x v="4"/>
    <n v="2"/>
    <x v="4"/>
    <x v="1"/>
    <n v="99226"/>
    <n v="0"/>
    <n v="41568"/>
    <x v="209"/>
    <n v="99226"/>
    <x v="211"/>
    <n v="96555"/>
    <n v="0"/>
    <m/>
    <m/>
    <m/>
    <x v="169"/>
    <x v="123"/>
    <m/>
    <m/>
    <m/>
    <m/>
    <m/>
  </r>
  <r>
    <x v="4"/>
    <n v="3"/>
    <x v="5"/>
    <x v="1"/>
    <n v="117047"/>
    <n v="0"/>
    <n v="41568"/>
    <x v="210"/>
    <n v="117047"/>
    <x v="197"/>
    <n v="113946"/>
    <n v="0"/>
    <m/>
    <m/>
    <m/>
    <x v="169"/>
    <x v="123"/>
    <m/>
    <m/>
    <m/>
    <m/>
    <m/>
  </r>
  <r>
    <x v="4"/>
    <n v="4"/>
    <x v="6"/>
    <x v="1"/>
    <n v="132774"/>
    <n v="0"/>
    <n v="41568"/>
    <x v="211"/>
    <n v="132774"/>
    <x v="212"/>
    <n v="129924"/>
    <n v="0"/>
    <m/>
    <m/>
    <m/>
    <x v="169"/>
    <x v="123"/>
    <m/>
    <m/>
    <m/>
    <m/>
    <m/>
  </r>
  <r>
    <x v="4"/>
    <n v="5"/>
    <x v="7"/>
    <x v="1"/>
    <n v="130297"/>
    <n v="0"/>
    <n v="41568"/>
    <x v="212"/>
    <n v="130297"/>
    <x v="213"/>
    <n v="127182"/>
    <n v="0"/>
    <m/>
    <m/>
    <m/>
    <x v="169"/>
    <x v="123"/>
    <m/>
    <m/>
    <m/>
    <m/>
    <m/>
  </r>
  <r>
    <x v="4"/>
    <n v="6"/>
    <x v="8"/>
    <x v="1"/>
    <n v="135346"/>
    <n v="0"/>
    <n v="41568"/>
    <x v="213"/>
    <n v="135346"/>
    <x v="214"/>
    <n v="132442"/>
    <n v="0"/>
    <m/>
    <m/>
    <m/>
    <x v="169"/>
    <x v="123"/>
    <m/>
    <m/>
    <m/>
    <m/>
    <m/>
  </r>
  <r>
    <x v="4"/>
    <n v="7"/>
    <x v="9"/>
    <x v="1"/>
    <n v="142122"/>
    <n v="0"/>
    <n v="41568"/>
    <x v="214"/>
    <n v="142122"/>
    <x v="215"/>
    <n v="139344"/>
    <n v="0"/>
    <m/>
    <m/>
    <m/>
    <x v="169"/>
    <x v="123"/>
    <m/>
    <m/>
    <m/>
    <m/>
    <m/>
  </r>
  <r>
    <x v="4"/>
    <n v="8"/>
    <x v="10"/>
    <x v="1"/>
    <n v="117706"/>
    <n v="0"/>
    <n v="41568"/>
    <x v="215"/>
    <n v="117706"/>
    <x v="216"/>
    <n v="115622"/>
    <n v="0"/>
    <m/>
    <m/>
    <m/>
    <x v="169"/>
    <x v="123"/>
    <m/>
    <m/>
    <m/>
    <m/>
    <m/>
  </r>
  <r>
    <x v="4"/>
    <n v="9"/>
    <x v="11"/>
    <x v="1"/>
    <n v="126025"/>
    <n v="0"/>
    <n v="41568"/>
    <x v="216"/>
    <n v="126025"/>
    <x v="217"/>
    <n v="123667"/>
    <n v="0"/>
    <m/>
    <m/>
    <m/>
    <x v="169"/>
    <x v="123"/>
    <m/>
    <m/>
    <m/>
    <m/>
    <m/>
  </r>
  <r>
    <x v="4"/>
    <n v="10"/>
    <x v="0"/>
    <x v="1"/>
    <n v="118469"/>
    <n v="0"/>
    <n v="41568"/>
    <x v="217"/>
    <n v="118469"/>
    <x v="185"/>
    <n v="116115"/>
    <n v="0"/>
    <m/>
    <m/>
    <m/>
    <x v="169"/>
    <x v="123"/>
    <m/>
    <m/>
    <m/>
    <m/>
    <m/>
  </r>
  <r>
    <x v="4"/>
    <n v="11"/>
    <x v="1"/>
    <x v="1"/>
    <n v="112556"/>
    <n v="0"/>
    <n v="41568"/>
    <x v="218"/>
    <n v="112556"/>
    <x v="218"/>
    <n v="109776"/>
    <n v="0"/>
    <m/>
    <m/>
    <m/>
    <x v="169"/>
    <x v="123"/>
    <m/>
    <m/>
    <m/>
    <m/>
    <m/>
  </r>
  <r>
    <x v="4"/>
    <n v="12"/>
    <x v="2"/>
    <x v="1"/>
    <n v="124998"/>
    <n v="0"/>
    <n v="41568"/>
    <x v="219"/>
    <n v="124998"/>
    <x v="215"/>
    <n v="122221"/>
    <n v="0"/>
    <m/>
    <m/>
    <m/>
    <x v="169"/>
    <x v="123"/>
    <m/>
    <m/>
    <m/>
    <m/>
    <m/>
  </r>
  <r>
    <x v="5"/>
    <n v="1"/>
    <x v="3"/>
    <x v="1"/>
    <n v="100767"/>
    <n v="0"/>
    <n v="41568"/>
    <x v="220"/>
    <n v="100767"/>
    <x v="219"/>
    <n v="98399"/>
    <n v="0"/>
    <m/>
    <m/>
    <m/>
    <x v="169"/>
    <x v="123"/>
    <m/>
    <m/>
    <m/>
    <m/>
    <m/>
  </r>
  <r>
    <x v="5"/>
    <n v="2"/>
    <x v="4"/>
    <x v="1"/>
    <n v="121991"/>
    <n v="0"/>
    <n v="41568"/>
    <x v="221"/>
    <n v="121991"/>
    <x v="220"/>
    <n v="119556"/>
    <n v="0"/>
    <m/>
    <m/>
    <m/>
    <x v="169"/>
    <x v="123"/>
    <m/>
    <m/>
    <m/>
    <m/>
    <m/>
  </r>
  <r>
    <x v="5"/>
    <n v="3"/>
    <x v="5"/>
    <x v="1"/>
    <n v="117195"/>
    <n v="0"/>
    <n v="41568"/>
    <x v="222"/>
    <n v="117195"/>
    <x v="221"/>
    <n v="113553"/>
    <n v="0"/>
    <m/>
    <m/>
    <m/>
    <x v="169"/>
    <x v="123"/>
    <m/>
    <m/>
    <m/>
    <m/>
    <m/>
  </r>
  <r>
    <x v="5"/>
    <n v="4"/>
    <x v="6"/>
    <x v="1"/>
    <n v="130295"/>
    <n v="0"/>
    <n v="43153"/>
    <x v="223"/>
    <n v="130295"/>
    <x v="195"/>
    <n v="127067"/>
    <n v="0"/>
    <m/>
    <m/>
    <m/>
    <x v="169"/>
    <x v="123"/>
    <m/>
    <m/>
    <m/>
    <m/>
    <m/>
  </r>
  <r>
    <x v="5"/>
    <n v="5"/>
    <x v="7"/>
    <x v="1"/>
    <n v="123751"/>
    <n v="0"/>
    <n v="43153"/>
    <x v="224"/>
    <n v="123751"/>
    <x v="222"/>
    <n v="120477"/>
    <n v="0"/>
    <m/>
    <m/>
    <m/>
    <x v="169"/>
    <x v="123"/>
    <m/>
    <m/>
    <m/>
    <m/>
    <m/>
  </r>
  <r>
    <x v="5"/>
    <n v="6"/>
    <x v="8"/>
    <x v="1"/>
    <n v="150832"/>
    <n v="0"/>
    <n v="43153"/>
    <x v="225"/>
    <n v="150832"/>
    <x v="223"/>
    <n v="146889"/>
    <n v="0"/>
    <m/>
    <m/>
    <m/>
    <x v="169"/>
    <x v="123"/>
    <m/>
    <m/>
    <m/>
    <m/>
    <m/>
  </r>
  <r>
    <x v="5"/>
    <n v="7"/>
    <x v="9"/>
    <x v="1"/>
    <n v="132611"/>
    <n v="0"/>
    <n v="43153"/>
    <x v="226"/>
    <n v="132611"/>
    <x v="224"/>
    <n v="129318"/>
    <n v="0"/>
    <m/>
    <m/>
    <m/>
    <x v="169"/>
    <x v="123"/>
    <m/>
    <m/>
    <m/>
    <m/>
    <m/>
  </r>
  <r>
    <x v="5"/>
    <n v="8"/>
    <x v="10"/>
    <x v="1"/>
    <n v="140285"/>
    <n v="0"/>
    <n v="44904"/>
    <x v="227"/>
    <n v="140285"/>
    <x v="225"/>
    <n v="136733"/>
    <n v="0"/>
    <m/>
    <m/>
    <m/>
    <x v="169"/>
    <x v="123"/>
    <m/>
    <m/>
    <m/>
    <m/>
    <m/>
  </r>
  <r>
    <x v="5"/>
    <n v="9"/>
    <x v="11"/>
    <x v="1"/>
    <n v="133506"/>
    <n v="0"/>
    <n v="44904"/>
    <x v="228"/>
    <n v="133506"/>
    <x v="226"/>
    <n v="129879"/>
    <n v="0"/>
    <m/>
    <m/>
    <m/>
    <x v="169"/>
    <x v="123"/>
    <m/>
    <m/>
    <m/>
    <m/>
    <m/>
  </r>
  <r>
    <x v="5"/>
    <n v="10"/>
    <x v="0"/>
    <x v="1"/>
    <n v="109273.2101"/>
    <n v="0"/>
    <n v="40314.922449999998"/>
    <x v="229"/>
    <n v="109273.2101"/>
    <x v="227"/>
    <n v="106187.11599999999"/>
    <n v="0"/>
    <m/>
    <m/>
    <m/>
    <x v="169"/>
    <x v="123"/>
    <m/>
    <m/>
    <m/>
    <m/>
    <m/>
  </r>
  <r>
    <x v="5"/>
    <n v="11"/>
    <x v="1"/>
    <x v="1"/>
    <n v="126507.0426"/>
    <n v="0"/>
    <n v="37889.73633"/>
    <x v="230"/>
    <n v="126507.0426"/>
    <x v="228"/>
    <n v="122887.2452"/>
    <n v="0"/>
    <m/>
    <m/>
    <m/>
    <x v="169"/>
    <x v="123"/>
    <m/>
    <m/>
    <m/>
    <m/>
    <m/>
  </r>
  <r>
    <x v="5"/>
    <n v="12"/>
    <x v="2"/>
    <x v="1"/>
    <n v="122240.57490000001"/>
    <n v="0"/>
    <n v="42517.256329999997"/>
    <x v="231"/>
    <n v="122240.57490000001"/>
    <x v="229"/>
    <n v="118656.1372"/>
    <n v="0"/>
    <m/>
    <m/>
    <m/>
    <x v="169"/>
    <x v="123"/>
    <m/>
    <m/>
    <m/>
    <m/>
    <m/>
  </r>
  <r>
    <x v="6"/>
    <n v="1"/>
    <x v="3"/>
    <x v="1"/>
    <n v="124666.23699999999"/>
    <n v="0"/>
    <n v="41528.235690000001"/>
    <x v="232"/>
    <n v="124666.23699999999"/>
    <x v="230"/>
    <n v="122025.47809999999"/>
    <n v="0"/>
    <m/>
    <m/>
    <m/>
    <x v="169"/>
    <x v="123"/>
    <m/>
    <m/>
    <m/>
    <m/>
    <m/>
  </r>
  <r>
    <x v="6"/>
    <n v="2"/>
    <x v="4"/>
    <x v="1"/>
    <n v="111385.17419999999"/>
    <n v="0"/>
    <n v="38738.390270000004"/>
    <x v="233"/>
    <n v="111385.17419999999"/>
    <x v="231"/>
    <n v="108660.97779999999"/>
    <n v="0"/>
    <m/>
    <m/>
    <m/>
    <x v="169"/>
    <x v="123"/>
    <m/>
    <m/>
    <m/>
    <m/>
    <m/>
  </r>
  <r>
    <x v="6"/>
    <n v="3"/>
    <x v="5"/>
    <x v="1"/>
    <n v="138115.69579999999"/>
    <n v="0"/>
    <n v="44424.740279999998"/>
    <x v="234"/>
    <n v="138115.69579999999"/>
    <x v="232"/>
    <n v="134413.25640000001"/>
    <n v="0"/>
    <m/>
    <m/>
    <m/>
    <x v="169"/>
    <x v="123"/>
    <m/>
    <m/>
    <m/>
    <m/>
    <m/>
  </r>
  <r>
    <x v="6"/>
    <n v="4"/>
    <x v="6"/>
    <x v="1"/>
    <n v="119889.2378"/>
    <n v="0"/>
    <n v="41498.62055"/>
    <x v="235"/>
    <n v="119889.2378"/>
    <x v="233"/>
    <n v="116962.622"/>
    <n v="0"/>
    <m/>
    <m/>
    <m/>
    <x v="169"/>
    <x v="123"/>
    <m/>
    <m/>
    <m/>
    <m/>
    <m/>
  </r>
  <r>
    <x v="6"/>
    <n v="5"/>
    <x v="7"/>
    <x v="1"/>
    <n v="154468.90729999999"/>
    <n v="0"/>
    <n v="45933.188880000002"/>
    <x v="236"/>
    <n v="154468.90729999999"/>
    <x v="234"/>
    <n v="150820.5172"/>
    <n v="0"/>
    <m/>
    <m/>
    <m/>
    <x v="169"/>
    <x v="123"/>
    <m/>
    <m/>
    <m/>
    <m/>
    <m/>
  </r>
  <r>
    <x v="6"/>
    <n v="6"/>
    <x v="8"/>
    <x v="1"/>
    <n v="141846.30189999999"/>
    <n v="0"/>
    <n v="45937.695169999999"/>
    <x v="237"/>
    <n v="141846.30189999999"/>
    <x v="235"/>
    <n v="137940.4443"/>
    <n v="0"/>
    <m/>
    <m/>
    <m/>
    <x v="169"/>
    <x v="123"/>
    <m/>
    <m/>
    <m/>
    <m/>
    <m/>
  </r>
  <r>
    <x v="6"/>
    <n v="7"/>
    <x v="9"/>
    <x v="1"/>
    <n v="143659.91639999999"/>
    <n v="0"/>
    <n v="45645.958429999999"/>
    <x v="238"/>
    <n v="143659.91639999999"/>
    <x v="236"/>
    <n v="140519.86379999999"/>
    <n v="0"/>
    <m/>
    <m/>
    <m/>
    <x v="169"/>
    <x v="123"/>
    <m/>
    <m/>
    <m/>
    <m/>
    <m/>
  </r>
  <r>
    <x v="6"/>
    <n v="8"/>
    <x v="10"/>
    <x v="1"/>
    <n v="136601.92000000001"/>
    <n v="0"/>
    <n v="45289.846689999998"/>
    <x v="239"/>
    <n v="136601.92000000001"/>
    <x v="237"/>
    <n v="133979.1765"/>
    <n v="0"/>
    <m/>
    <m/>
    <m/>
    <x v="169"/>
    <x v="123"/>
    <m/>
    <m/>
    <m/>
    <m/>
    <m/>
  </r>
  <r>
    <x v="6"/>
    <n v="9"/>
    <x v="11"/>
    <x v="1"/>
    <n v="130849.4492"/>
    <n v="0"/>
    <n v="46680.908580000003"/>
    <x v="240"/>
    <n v="130849.4492"/>
    <x v="238"/>
    <n v="128623.1982"/>
    <n v="0"/>
    <m/>
    <m/>
    <m/>
    <x v="169"/>
    <x v="123"/>
    <m/>
    <m/>
    <m/>
    <m/>
    <m/>
  </r>
  <r>
    <x v="6"/>
    <n v="10"/>
    <x v="0"/>
    <x v="1"/>
    <n v="116834.1634"/>
    <n v="0"/>
    <n v="43280.416109999998"/>
    <x v="241"/>
    <n v="116834.1634"/>
    <x v="239"/>
    <n v="116480.431"/>
    <n v="0"/>
    <m/>
    <m/>
    <m/>
    <x v="169"/>
    <x v="123"/>
    <m/>
    <m/>
    <m/>
    <m/>
    <m/>
  </r>
  <r>
    <x v="6"/>
    <n v="11"/>
    <x v="1"/>
    <x v="1"/>
    <n v="130705.5208"/>
    <n v="0"/>
    <n v="43770.477910000001"/>
    <x v="242"/>
    <n v="130705.5208"/>
    <x v="240"/>
    <n v="130377.9954"/>
    <n v="0"/>
    <m/>
    <m/>
    <m/>
    <x v="169"/>
    <x v="123"/>
    <m/>
    <m/>
    <m/>
    <m/>
    <m/>
  </r>
  <r>
    <x v="6"/>
    <n v="12"/>
    <x v="2"/>
    <x v="1"/>
    <n v="148125.03390000001"/>
    <n v="0"/>
    <n v="43884.407140000003"/>
    <x v="243"/>
    <n v="148125.03390000001"/>
    <x v="241"/>
    <n v="147806.92430000001"/>
    <n v="0"/>
    <m/>
    <m/>
    <m/>
    <x v="169"/>
    <x v="123"/>
    <m/>
    <m/>
    <m/>
    <m/>
    <m/>
  </r>
  <r>
    <x v="7"/>
    <n v="1"/>
    <x v="3"/>
    <x v="1"/>
    <n v="118162.7356"/>
    <n v="0"/>
    <n v="44098.604549999996"/>
    <x v="244"/>
    <n v="118162.7356"/>
    <x v="242"/>
    <n v="117920.5684"/>
    <n v="0"/>
    <m/>
    <m/>
    <m/>
    <x v="169"/>
    <x v="123"/>
    <m/>
    <m/>
    <m/>
    <m/>
    <m/>
  </r>
  <r>
    <x v="7"/>
    <n v="2"/>
    <x v="4"/>
    <x v="1"/>
    <n v="114726.02770000001"/>
    <n v="0"/>
    <n v="44585.89675"/>
    <x v="245"/>
    <n v="114726.02770000001"/>
    <x v="243"/>
    <n v="114396.4396"/>
    <n v="0"/>
    <m/>
    <m/>
    <m/>
    <x v="169"/>
    <x v="123"/>
    <m/>
    <m/>
    <m/>
    <m/>
    <m/>
  </r>
  <r>
    <x v="7"/>
    <n v="3"/>
    <x v="5"/>
    <x v="1"/>
    <n v="128663.7138"/>
    <n v="0"/>
    <n v="44600.547339999997"/>
    <x v="246"/>
    <n v="128663.7138"/>
    <x v="244"/>
    <n v="128327.7317"/>
    <n v="0"/>
    <m/>
    <m/>
    <m/>
    <x v="169"/>
    <x v="123"/>
    <m/>
    <m/>
    <m/>
    <m/>
    <m/>
  </r>
  <r>
    <x v="7"/>
    <n v="4"/>
    <x v="6"/>
    <x v="1"/>
    <n v="148255.0324"/>
    <n v="0"/>
    <n v="44882.540690000002"/>
    <x v="247"/>
    <n v="148255.0324"/>
    <x v="245"/>
    <n v="147499.54790000001"/>
    <n v="0"/>
    <m/>
    <m/>
    <m/>
    <x v="169"/>
    <x v="123"/>
    <m/>
    <m/>
    <m/>
    <m/>
    <m/>
  </r>
  <r>
    <x v="7"/>
    <n v="5"/>
    <x v="7"/>
    <x v="1"/>
    <n v="138577.14369999999"/>
    <n v="0"/>
    <n v="44787.02721"/>
    <x v="248"/>
    <n v="138577.14369999999"/>
    <x v="246"/>
    <n v="137683.0753"/>
    <n v="0"/>
    <m/>
    <m/>
    <m/>
    <x v="169"/>
    <x v="123"/>
    <m/>
    <m/>
    <m/>
    <m/>
    <m/>
  </r>
  <r>
    <x v="7"/>
    <n v="6"/>
    <x v="8"/>
    <x v="1"/>
    <n v="141770.28349999999"/>
    <n v="0"/>
    <n v="44682.421040000001"/>
    <x v="249"/>
    <n v="141770.28349999999"/>
    <x v="247"/>
    <n v="141314.14369999999"/>
    <n v="0"/>
    <m/>
    <m/>
    <m/>
    <x v="169"/>
    <x v="123"/>
    <m/>
    <m/>
    <m/>
    <m/>
    <m/>
  </r>
  <r>
    <x v="7"/>
    <n v="7"/>
    <x v="9"/>
    <x v="1"/>
    <n v="138939.4301"/>
    <n v="0"/>
    <n v="44594.826730000001"/>
    <x v="250"/>
    <n v="138939.4301"/>
    <x v="248"/>
    <n v="138647.70300000001"/>
    <n v="0"/>
    <m/>
    <m/>
    <m/>
    <x v="169"/>
    <x v="123"/>
    <m/>
    <m/>
    <m/>
    <m/>
    <m/>
  </r>
  <r>
    <x v="7"/>
    <n v="8"/>
    <x v="10"/>
    <x v="1"/>
    <n v="140367.51149999999"/>
    <n v="0"/>
    <n v="44531.643089999998"/>
    <x v="251"/>
    <n v="140367.51149999999"/>
    <x v="249"/>
    <n v="140078.55119999999"/>
    <n v="0"/>
    <m/>
    <m/>
    <m/>
    <x v="169"/>
    <x v="123"/>
    <m/>
    <m/>
    <m/>
    <m/>
    <m/>
  </r>
  <r>
    <x v="7"/>
    <n v="9"/>
    <x v="11"/>
    <x v="1"/>
    <n v="133036.48060000001"/>
    <n v="0"/>
    <n v="44336.255319999997"/>
    <x v="252"/>
    <n v="133036.48060000001"/>
    <x v="250"/>
    <n v="132659.05549999999"/>
    <n v="0"/>
    <m/>
    <m/>
    <m/>
    <x v="169"/>
    <x v="123"/>
    <m/>
    <m/>
    <m/>
    <m/>
    <m/>
  </r>
  <r>
    <x v="7"/>
    <n v="10"/>
    <x v="0"/>
    <x v="1"/>
    <n v="127067.8717"/>
    <n v="0"/>
    <n v="44432.240709999998"/>
    <x v="253"/>
    <n v="127067.8717"/>
    <x v="251"/>
    <n v="126717.95510000001"/>
    <n v="0"/>
    <m/>
    <m/>
    <m/>
    <x v="169"/>
    <x v="123"/>
    <m/>
    <m/>
    <m/>
    <m/>
    <m/>
  </r>
  <r>
    <x v="7"/>
    <n v="11"/>
    <x v="1"/>
    <x v="1"/>
    <n v="106561.18730000001"/>
    <n v="0"/>
    <n v="44492.400959999999"/>
    <x v="254"/>
    <n v="106561.18730000001"/>
    <x v="252"/>
    <n v="106052.47319999999"/>
    <n v="0"/>
    <m/>
    <m/>
    <m/>
    <x v="169"/>
    <x v="123"/>
    <m/>
    <m/>
    <m/>
    <m/>
    <m/>
  </r>
  <r>
    <x v="7"/>
    <n v="12"/>
    <x v="2"/>
    <x v="1"/>
    <n v="123629.8222"/>
    <n v="0"/>
    <n v="44547.673130000003"/>
    <x v="255"/>
    <n v="123629.8222"/>
    <x v="253"/>
    <n v="122297.36749999999"/>
    <n v="0"/>
    <m/>
    <m/>
    <m/>
    <x v="169"/>
    <x v="123"/>
    <m/>
    <m/>
    <m/>
    <m/>
    <m/>
  </r>
  <r>
    <x v="8"/>
    <n v="1"/>
    <x v="3"/>
    <x v="1"/>
    <n v="113511.34359999999"/>
    <n v="0"/>
    <n v="44588.497539999997"/>
    <x v="256"/>
    <n v="113511.34359999999"/>
    <x v="254"/>
    <n v="113292.8698"/>
    <n v="0"/>
    <m/>
    <m/>
    <m/>
    <x v="169"/>
    <x v="123"/>
    <m/>
    <m/>
    <m/>
    <m/>
    <m/>
  </r>
  <r>
    <x v="8"/>
    <n v="2"/>
    <x v="4"/>
    <x v="1"/>
    <n v="119949.8054"/>
    <n v="0"/>
    <n v="44588.733979999997"/>
    <x v="257"/>
    <n v="119949.8054"/>
    <x v="255"/>
    <n v="119696.976"/>
    <n v="0"/>
    <m/>
    <m/>
    <m/>
    <x v="169"/>
    <x v="123"/>
    <m/>
    <m/>
    <m/>
    <m/>
    <m/>
  </r>
  <r>
    <x v="8"/>
    <n v="3"/>
    <x v="5"/>
    <x v="1"/>
    <n v="125000.2251"/>
    <n v="0"/>
    <n v="44587.660040000002"/>
    <x v="258"/>
    <n v="125000.2251"/>
    <x v="256"/>
    <n v="124702.3894"/>
    <n v="0"/>
    <m/>
    <m/>
    <m/>
    <x v="169"/>
    <x v="123"/>
    <m/>
    <m/>
    <m/>
    <m/>
    <m/>
  </r>
  <r>
    <x v="8"/>
    <n v="4"/>
    <x v="6"/>
    <x v="1"/>
    <n v="146888.09039999999"/>
    <n v="0"/>
    <n v="44560.852700000003"/>
    <x v="259"/>
    <n v="146888.09039999999"/>
    <x v="257"/>
    <n v="146775.97260000001"/>
    <n v="0"/>
    <m/>
    <m/>
    <m/>
    <x v="169"/>
    <x v="123"/>
    <m/>
    <m/>
    <m/>
    <m/>
    <m/>
  </r>
  <r>
    <x v="8"/>
    <n v="5"/>
    <x v="7"/>
    <x v="1"/>
    <n v="145542.97529999999"/>
    <n v="0"/>
    <n v="44540.291389999999"/>
    <x v="260"/>
    <n v="145542.97529999999"/>
    <x v="258"/>
    <n v="145190.81520000001"/>
    <n v="0"/>
    <m/>
    <m/>
    <m/>
    <x v="169"/>
    <x v="123"/>
    <m/>
    <m/>
    <m/>
    <m/>
    <m/>
  </r>
  <r>
    <x v="8"/>
    <n v="6"/>
    <x v="8"/>
    <x v="1"/>
    <n v="138382.7715"/>
    <n v="0"/>
    <n v="44527.370510000001"/>
    <x v="261"/>
    <n v="138382.7715"/>
    <x v="259"/>
    <n v="138099.8866"/>
    <n v="0"/>
    <m/>
    <m/>
    <m/>
    <x v="169"/>
    <x v="123"/>
    <m/>
    <m/>
    <m/>
    <m/>
    <m/>
  </r>
  <r>
    <x v="8"/>
    <n v="7"/>
    <x v="9"/>
    <x v="1"/>
    <n v="136313.32569999999"/>
    <n v="0"/>
    <n v="44521.238120000002"/>
    <x v="262"/>
    <n v="136313.32569999999"/>
    <x v="260"/>
    <n v="136044.16469999999"/>
    <n v="0"/>
    <m/>
    <m/>
    <m/>
    <x v="169"/>
    <x v="123"/>
    <m/>
    <m/>
    <m/>
    <m/>
    <m/>
  </r>
  <r>
    <x v="8"/>
    <n v="8"/>
    <x v="10"/>
    <x v="1"/>
    <n v="122477.9953"/>
    <n v="0"/>
    <n v="44520.292220000003"/>
    <x v="263"/>
    <n v="122477.9953"/>
    <x v="261"/>
    <n v="122195.9996"/>
    <n v="0"/>
    <m/>
    <m/>
    <m/>
    <x v="169"/>
    <x v="123"/>
    <m/>
    <m/>
    <m/>
    <m/>
    <m/>
  </r>
  <r>
    <x v="8"/>
    <n v="9"/>
    <x v="11"/>
    <x v="1"/>
    <n v="127724.70269999999"/>
    <n v="0"/>
    <n v="44537.022839999998"/>
    <x v="264"/>
    <n v="127724.70269999999"/>
    <x v="262"/>
    <n v="127330.2172"/>
    <n v="0"/>
    <m/>
    <m/>
    <m/>
    <x v="169"/>
    <x v="123"/>
    <m/>
    <m/>
    <m/>
    <m/>
    <m/>
  </r>
  <r>
    <x v="8"/>
    <n v="10"/>
    <x v="0"/>
    <x v="1"/>
    <n v="120659.0803"/>
    <n v="0"/>
    <n v="44546.548490000001"/>
    <x v="265"/>
    <n v="120659.0803"/>
    <x v="263"/>
    <n v="120290.7389"/>
    <n v="0"/>
    <m/>
    <m/>
    <m/>
    <x v="169"/>
    <x v="123"/>
    <m/>
    <m/>
    <m/>
    <m/>
    <m/>
  </r>
  <r>
    <x v="8"/>
    <n v="11"/>
    <x v="1"/>
    <x v="1"/>
    <n v="116460.17849999999"/>
    <n v="0"/>
    <n v="44551.470999999998"/>
    <x v="266"/>
    <n v="116460.17849999999"/>
    <x v="264"/>
    <n v="116068.87119999999"/>
    <n v="0"/>
    <m/>
    <m/>
    <m/>
    <x v="169"/>
    <x v="123"/>
    <m/>
    <m/>
    <m/>
    <m/>
    <m/>
  </r>
  <r>
    <x v="8"/>
    <n v="12"/>
    <x v="2"/>
    <x v="1"/>
    <n v="109950.09819999999"/>
    <n v="0"/>
    <n v="44551.81626"/>
    <x v="267"/>
    <n v="109950.09819999999"/>
    <x v="265"/>
    <n v="109798.50049999999"/>
    <n v="0"/>
    <m/>
    <m/>
    <m/>
    <x v="169"/>
    <x v="123"/>
    <m/>
    <m/>
    <m/>
    <m/>
    <m/>
  </r>
  <r>
    <x v="9"/>
    <n v="1"/>
    <x v="3"/>
    <x v="1"/>
    <n v="114395.5747"/>
    <n v="0"/>
    <n v="44548.481599999999"/>
    <x v="268"/>
    <n v="114395.5747"/>
    <x v="266"/>
    <n v="114143.81419999999"/>
    <n v="0"/>
    <m/>
    <m/>
    <m/>
    <x v="169"/>
    <x v="123"/>
    <m/>
    <m/>
    <m/>
    <m/>
    <m/>
  </r>
  <r>
    <x v="9"/>
    <n v="2"/>
    <x v="4"/>
    <x v="1"/>
    <n v="110824.19289999999"/>
    <n v="0"/>
    <n v="44544.822289999996"/>
    <x v="269"/>
    <n v="110824.19289999999"/>
    <x v="267"/>
    <n v="110615.6654"/>
    <n v="0"/>
    <m/>
    <m/>
    <m/>
    <x v="169"/>
    <x v="123"/>
    <m/>
    <m/>
    <m/>
    <m/>
    <m/>
  </r>
  <r>
    <x v="9"/>
    <n v="3"/>
    <x v="5"/>
    <x v="1"/>
    <n v="114078.8723"/>
    <n v="0"/>
    <n v="44540.927949999998"/>
    <x v="270"/>
    <n v="114078.8723"/>
    <x v="268"/>
    <n v="113799.94160000001"/>
    <n v="0"/>
    <m/>
    <m/>
    <m/>
    <x v="169"/>
    <x v="123"/>
    <m/>
    <m/>
    <m/>
    <m/>
    <m/>
  </r>
  <r>
    <x v="9"/>
    <n v="4"/>
    <x v="6"/>
    <x v="1"/>
    <n v="111065.18979999999"/>
    <n v="0"/>
    <n v="44539.116609999997"/>
    <x v="271"/>
    <n v="111065.18979999999"/>
    <x v="269"/>
    <n v="109817.22010000001"/>
    <n v="0"/>
    <m/>
    <m/>
    <m/>
    <x v="169"/>
    <x v="123"/>
    <m/>
    <m/>
    <m/>
    <m/>
    <m/>
  </r>
  <r>
    <x v="9"/>
    <n v="5"/>
    <x v="7"/>
    <x v="1"/>
    <n v="118019.7564"/>
    <n v="0"/>
    <n v="44539.009810000003"/>
    <x v="272"/>
    <n v="118019.7564"/>
    <x v="270"/>
    <n v="117502.08590000001"/>
    <n v="0"/>
    <m/>
    <m/>
    <m/>
    <x v="169"/>
    <x v="123"/>
    <m/>
    <m/>
    <m/>
    <m/>
    <m/>
  </r>
  <r>
    <x v="9"/>
    <n v="6"/>
    <x v="8"/>
    <x v="1"/>
    <n v="121697.3958"/>
    <n v="0"/>
    <n v="44540.067929999997"/>
    <x v="273"/>
    <n v="121697.3958"/>
    <x v="271"/>
    <n v="121369.3741"/>
    <n v="0"/>
    <m/>
    <m/>
    <m/>
    <x v="169"/>
    <x v="123"/>
    <m/>
    <m/>
    <m/>
    <m/>
    <m/>
  </r>
  <r>
    <x v="9"/>
    <n v="7"/>
    <x v="9"/>
    <x v="1"/>
    <n v="125317.02619999999"/>
    <n v="0"/>
    <n v="44541.779730000002"/>
    <x v="274"/>
    <n v="125317.02619999999"/>
    <x v="272"/>
    <n v="125058.1908"/>
    <n v="0"/>
    <m/>
    <m/>
    <m/>
    <x v="169"/>
    <x v="123"/>
    <m/>
    <m/>
    <m/>
    <m/>
    <m/>
  </r>
  <r>
    <x v="9"/>
    <n v="8"/>
    <x v="10"/>
    <x v="1"/>
    <n v="108765.84669999999"/>
    <n v="0"/>
    <n v="44543.733130000001"/>
    <x v="275"/>
    <n v="108765.84669999999"/>
    <x v="273"/>
    <n v="108461.35950000001"/>
    <n v="0"/>
    <m/>
    <m/>
    <m/>
    <x v="169"/>
    <x v="123"/>
    <m/>
    <m/>
    <m/>
    <m/>
    <m/>
  </r>
  <r>
    <x v="9"/>
    <n v="9"/>
    <x v="11"/>
    <x v="1"/>
    <n v="121053.6029"/>
    <n v="0"/>
    <n v="44544.343159999997"/>
    <x v="276"/>
    <n v="121053.6029"/>
    <x v="274"/>
    <n v="120818.02069999999"/>
    <n v="0"/>
    <m/>
    <m/>
    <m/>
    <x v="169"/>
    <x v="123"/>
    <m/>
    <m/>
    <m/>
    <m/>
    <m/>
  </r>
  <r>
    <x v="9"/>
    <n v="10"/>
    <x v="0"/>
    <x v="1"/>
    <n v="117578.7931"/>
    <n v="0"/>
    <n v="43333.333330000001"/>
    <x v="277"/>
    <n v="117578.7931"/>
    <x v="275"/>
    <n v="117189.0615"/>
    <n v="0"/>
    <m/>
    <m/>
    <m/>
    <x v="169"/>
    <x v="123"/>
    <m/>
    <m/>
    <m/>
    <m/>
    <m/>
  </r>
  <r>
    <x v="9"/>
    <n v="11"/>
    <x v="1"/>
    <x v="1"/>
    <n v="106859.30989999999"/>
    <n v="0"/>
    <n v="43333.333330000001"/>
    <x v="278"/>
    <n v="106859.30989999999"/>
    <x v="276"/>
    <n v="106645.20389999999"/>
    <n v="0"/>
    <m/>
    <m/>
    <m/>
    <x v="169"/>
    <x v="123"/>
    <m/>
    <m/>
    <m/>
    <m/>
    <m/>
  </r>
  <r>
    <x v="9"/>
    <n v="12"/>
    <x v="2"/>
    <x v="1"/>
    <n v="110536.85129999999"/>
    <n v="0"/>
    <n v="43333.333330000001"/>
    <x v="279"/>
    <n v="110536.85129999999"/>
    <x v="277"/>
    <n v="110274.5082"/>
    <n v="0"/>
    <m/>
    <m/>
    <m/>
    <x v="169"/>
    <x v="123"/>
    <m/>
    <m/>
    <m/>
    <m/>
    <m/>
  </r>
  <r>
    <x v="10"/>
    <n v="1"/>
    <x v="3"/>
    <x v="1"/>
    <n v="101790.9371"/>
    <n v="0"/>
    <n v="43333.333330000001"/>
    <x v="280"/>
    <n v="101790.9371"/>
    <x v="278"/>
    <n v="101600.47139999999"/>
    <n v="0"/>
    <m/>
    <m/>
    <m/>
    <x v="169"/>
    <x v="123"/>
    <m/>
    <m/>
    <m/>
    <m/>
    <m/>
  </r>
  <r>
    <x v="10"/>
    <n v="2"/>
    <x v="4"/>
    <x v="1"/>
    <n v="95935.86262"/>
    <n v="0"/>
    <n v="43333.333330000001"/>
    <x v="281"/>
    <n v="95935.86262"/>
    <x v="279"/>
    <n v="95648.362070000003"/>
    <n v="0"/>
    <m/>
    <m/>
    <m/>
    <x v="169"/>
    <x v="123"/>
    <m/>
    <m/>
    <m/>
    <m/>
    <m/>
  </r>
  <r>
    <x v="10"/>
    <n v="3"/>
    <x v="5"/>
    <x v="1"/>
    <n v="103056.8245"/>
    <n v="0"/>
    <n v="43333.333330000001"/>
    <x v="282"/>
    <n v="103056.8245"/>
    <x v="280"/>
    <n v="102774.3697"/>
    <n v="0"/>
    <m/>
    <m/>
    <m/>
    <x v="169"/>
    <x v="123"/>
    <m/>
    <m/>
    <m/>
    <m/>
    <m/>
  </r>
  <r>
    <x v="10"/>
    <n v="4"/>
    <x v="6"/>
    <x v="1"/>
    <n v="121943.59819999999"/>
    <n v="0"/>
    <n v="43333.333330000001"/>
    <x v="283"/>
    <n v="121943.59819999999"/>
    <x v="281"/>
    <n v="121485.64230000001"/>
    <n v="0"/>
    <m/>
    <m/>
    <m/>
    <x v="169"/>
    <x v="123"/>
    <m/>
    <m/>
    <m/>
    <m/>
    <m/>
  </r>
  <r>
    <x v="10"/>
    <n v="5"/>
    <x v="7"/>
    <x v="1"/>
    <n v="114332.7261"/>
    <n v="0"/>
    <n v="43333.333330000001"/>
    <x v="284"/>
    <n v="114332.7261"/>
    <x v="282"/>
    <n v="114037.3774"/>
    <n v="0"/>
    <m/>
    <m/>
    <m/>
    <x v="169"/>
    <x v="123"/>
    <m/>
    <m/>
    <m/>
    <m/>
    <m/>
  </r>
  <r>
    <x v="10"/>
    <n v="6"/>
    <x v="8"/>
    <x v="1"/>
    <n v="119948.5871"/>
    <n v="0"/>
    <n v="43333.333330000001"/>
    <x v="285"/>
    <n v="119948.5871"/>
    <x v="283"/>
    <n v="119633.2807"/>
    <n v="0"/>
    <m/>
    <m/>
    <m/>
    <x v="169"/>
    <x v="123"/>
    <m/>
    <m/>
    <m/>
    <m/>
    <m/>
  </r>
  <r>
    <x v="10"/>
    <n v="7"/>
    <x v="9"/>
    <x v="1"/>
    <n v="107270.7778"/>
    <n v="0"/>
    <n v="43333.333330000001"/>
    <x v="286"/>
    <n v="107270.7778"/>
    <x v="284"/>
    <n v="106870.9727"/>
    <n v="0"/>
    <m/>
    <m/>
    <m/>
    <x v="169"/>
    <x v="123"/>
    <m/>
    <m/>
    <m/>
    <m/>
    <m/>
  </r>
  <r>
    <x v="10"/>
    <n v="8"/>
    <x v="10"/>
    <x v="1"/>
    <n v="109771.1422"/>
    <n v="0"/>
    <n v="43333.333330000001"/>
    <x v="287"/>
    <n v="109771.1422"/>
    <x v="285"/>
    <n v="109306.155"/>
    <n v="0"/>
    <m/>
    <m/>
    <m/>
    <x v="169"/>
    <x v="123"/>
    <m/>
    <m/>
    <m/>
    <m/>
    <m/>
  </r>
  <r>
    <x v="10"/>
    <n v="9"/>
    <x v="11"/>
    <x v="1"/>
    <n v="115160.2847"/>
    <n v="0"/>
    <n v="43333.333330000001"/>
    <x v="288"/>
    <n v="115160.2847"/>
    <x v="286"/>
    <n v="114439.1719"/>
    <n v="0"/>
    <m/>
    <m/>
    <m/>
    <x v="169"/>
    <x v="123"/>
    <m/>
    <m/>
    <m/>
    <m/>
    <m/>
  </r>
  <r>
    <x v="10"/>
    <n v="10"/>
    <x v="0"/>
    <x v="1"/>
    <n v="103413.32670000001"/>
    <n v="0"/>
    <n v="43333.333330000001"/>
    <x v="289"/>
    <n v="103413.32670000001"/>
    <x v="287"/>
    <n v="103135.7813"/>
    <n v="0"/>
    <m/>
    <m/>
    <m/>
    <x v="169"/>
    <x v="123"/>
    <m/>
    <m/>
    <m/>
    <m/>
    <m/>
  </r>
  <r>
    <x v="10"/>
    <n v="11"/>
    <x v="1"/>
    <x v="1"/>
    <n v="98016.557090000002"/>
    <n v="0"/>
    <n v="43333.333330000001"/>
    <x v="290"/>
    <n v="98016.557090000002"/>
    <x v="288"/>
    <n v="97660.722070000003"/>
    <n v="0"/>
    <m/>
    <m/>
    <m/>
    <x v="169"/>
    <x v="123"/>
    <m/>
    <m/>
    <m/>
    <m/>
    <m/>
  </r>
  <r>
    <x v="10"/>
    <n v="12"/>
    <x v="2"/>
    <x v="1"/>
    <n v="121384.1409"/>
    <n v="0"/>
    <n v="43333.333330000001"/>
    <x v="291"/>
    <n v="121384.1409"/>
    <x v="289"/>
    <n v="120995.6045"/>
    <n v="0"/>
    <m/>
    <m/>
    <m/>
    <x v="169"/>
    <x v="123"/>
    <m/>
    <m/>
    <m/>
    <m/>
    <m/>
  </r>
  <r>
    <x v="11"/>
    <n v="1"/>
    <x v="3"/>
    <x v="1"/>
    <n v="101136.7268"/>
    <n v="0"/>
    <n v="43333.333330000001"/>
    <x v="292"/>
    <n v="101136.7268"/>
    <x v="290"/>
    <n v="100935.6923"/>
    <n v="0"/>
    <m/>
    <m/>
    <m/>
    <x v="169"/>
    <x v="123"/>
    <m/>
    <m/>
    <m/>
    <m/>
    <m/>
  </r>
  <r>
    <x v="11"/>
    <n v="2"/>
    <x v="4"/>
    <x v="1"/>
    <n v="93828.028200000001"/>
    <n v="0"/>
    <n v="43333.333330000001"/>
    <x v="293"/>
    <n v="93828.028200000001"/>
    <x v="291"/>
    <n v="93593.921849999999"/>
    <n v="0"/>
    <m/>
    <m/>
    <m/>
    <x v="169"/>
    <x v="123"/>
    <m/>
    <m/>
    <m/>
    <m/>
    <m/>
  </r>
  <r>
    <x v="11"/>
    <n v="3"/>
    <x v="5"/>
    <x v="1"/>
    <n v="103237.79730000001"/>
    <n v="0"/>
    <n v="43333.333330000001"/>
    <x v="294"/>
    <n v="103237.79730000001"/>
    <x v="292"/>
    <n v="102975.24890000001"/>
    <n v="0"/>
    <m/>
    <m/>
    <m/>
    <x v="169"/>
    <x v="123"/>
    <m/>
    <m/>
    <m/>
    <m/>
    <m/>
  </r>
  <r>
    <x v="11"/>
    <n v="4"/>
    <x v="6"/>
    <x v="1"/>
    <n v="106932.6946"/>
    <n v="0"/>
    <n v="43333.333330000001"/>
    <x v="295"/>
    <n v="106932.6946"/>
    <x v="293"/>
    <n v="106523.42479999999"/>
    <n v="0"/>
    <m/>
    <m/>
    <m/>
    <x v="169"/>
    <x v="123"/>
    <m/>
    <m/>
    <m/>
    <m/>
    <m/>
  </r>
  <r>
    <x v="11"/>
    <n v="5"/>
    <x v="7"/>
    <x v="1"/>
    <n v="112050.6583"/>
    <n v="0"/>
    <n v="43333.333330000001"/>
    <x v="296"/>
    <n v="112050.6583"/>
    <x v="294"/>
    <n v="111463.5481"/>
    <n v="0"/>
    <m/>
    <m/>
    <m/>
    <x v="169"/>
    <x v="123"/>
    <m/>
    <m/>
    <m/>
    <m/>
    <m/>
  </r>
  <r>
    <x v="11"/>
    <n v="6"/>
    <x v="8"/>
    <x v="1"/>
    <n v="128771.6532"/>
    <n v="0"/>
    <n v="43333.333330000001"/>
    <x v="297"/>
    <n v="128771.6532"/>
    <x v="295"/>
    <n v="128289.73639999999"/>
    <n v="0"/>
    <m/>
    <m/>
    <m/>
    <x v="169"/>
    <x v="123"/>
    <m/>
    <m/>
    <m/>
    <m/>
    <m/>
  </r>
  <r>
    <x v="11"/>
    <n v="7"/>
    <x v="9"/>
    <x v="1"/>
    <n v="112019.236"/>
    <n v="0"/>
    <n v="43333.333330000001"/>
    <x v="298"/>
    <n v="112019.236"/>
    <x v="296"/>
    <n v="111450.1535"/>
    <n v="0"/>
    <m/>
    <m/>
    <m/>
    <x v="169"/>
    <x v="123"/>
    <m/>
    <m/>
    <m/>
    <m/>
    <m/>
  </r>
  <r>
    <x v="11"/>
    <n v="8"/>
    <x v="10"/>
    <x v="1"/>
    <n v="107036.6232"/>
    <n v="0"/>
    <n v="43333.333330000001"/>
    <x v="299"/>
    <n v="107036.6232"/>
    <x v="297"/>
    <n v="106557.6204"/>
    <n v="0"/>
    <m/>
    <m/>
    <m/>
    <x v="169"/>
    <x v="123"/>
    <m/>
    <m/>
    <m/>
    <m/>
    <m/>
  </r>
  <r>
    <x v="11"/>
    <n v="9"/>
    <x v="11"/>
    <x v="1"/>
    <n v="107588.7904"/>
    <n v="0"/>
    <n v="43333.333330000001"/>
    <x v="300"/>
    <n v="107588.7904"/>
    <x v="298"/>
    <n v="107421.8648"/>
    <n v="0"/>
    <m/>
    <m/>
    <m/>
    <x v="169"/>
    <x v="123"/>
    <m/>
    <m/>
    <m/>
    <m/>
    <m/>
  </r>
  <r>
    <x v="11"/>
    <n v="10"/>
    <x v="0"/>
    <x v="1"/>
    <n v="122569.9944"/>
    <n v="0"/>
    <n v="43333.333330000001"/>
    <x v="301"/>
    <n v="122569.9944"/>
    <x v="299"/>
    <n v="122416.99"/>
    <n v="0"/>
    <m/>
    <m/>
    <m/>
    <x v="169"/>
    <x v="123"/>
    <m/>
    <m/>
    <m/>
    <m/>
    <m/>
  </r>
  <r>
    <x v="11"/>
    <n v="11"/>
    <x v="1"/>
    <x v="1"/>
    <n v="113129.3172"/>
    <n v="0"/>
    <n v="43333.333330000001"/>
    <x v="302"/>
    <n v="113129.3172"/>
    <x v="300"/>
    <n v="112873.91680000001"/>
    <n v="0"/>
    <m/>
    <m/>
    <m/>
    <x v="169"/>
    <x v="123"/>
    <m/>
    <m/>
    <m/>
    <m/>
    <m/>
  </r>
  <r>
    <x v="11"/>
    <n v="12"/>
    <x v="2"/>
    <x v="1"/>
    <n v="110302.16989999999"/>
    <n v="0"/>
    <n v="43333.333330000001"/>
    <x v="303"/>
    <n v="110302.16989999999"/>
    <x v="301"/>
    <n v="110050.2497"/>
    <n v="0"/>
    <m/>
    <m/>
    <m/>
    <x v="169"/>
    <x v="123"/>
    <m/>
    <m/>
    <m/>
    <m/>
    <m/>
  </r>
  <r>
    <x v="12"/>
    <n v="1"/>
    <x v="3"/>
    <x v="1"/>
    <n v="110587.2123"/>
    <n v="0"/>
    <n v="43333.333330000001"/>
    <x v="304"/>
    <n v="110587.2123"/>
    <x v="302"/>
    <n v="110376.17819999999"/>
    <n v="0"/>
    <m/>
    <m/>
    <m/>
    <x v="169"/>
    <x v="123"/>
    <m/>
    <m/>
    <m/>
    <m/>
    <m/>
  </r>
  <r>
    <x v="12"/>
    <n v="2"/>
    <x v="4"/>
    <x v="1"/>
    <n v="103799.8596"/>
    <n v="0"/>
    <n v="43333.333330000001"/>
    <x v="305"/>
    <n v="103799.8596"/>
    <x v="303"/>
    <n v="103541.38740000001"/>
    <n v="0"/>
    <m/>
    <m/>
    <m/>
    <x v="169"/>
    <x v="123"/>
    <m/>
    <m/>
    <m/>
    <m/>
    <m/>
  </r>
  <r>
    <x v="12"/>
    <n v="3"/>
    <x v="5"/>
    <x v="1"/>
    <n v="113053.2962"/>
    <n v="0"/>
    <n v="43333.333330000001"/>
    <x v="306"/>
    <n v="113053.2962"/>
    <x v="304"/>
    <n v="112816.5527"/>
    <n v="0"/>
    <m/>
    <m/>
    <m/>
    <x v="169"/>
    <x v="123"/>
    <m/>
    <m/>
    <m/>
    <m/>
    <m/>
  </r>
  <r>
    <x v="12"/>
    <n v="4"/>
    <x v="6"/>
    <x v="1"/>
    <n v="115467.2478"/>
    <n v="0"/>
    <n v="43333.333330000001"/>
    <x v="307"/>
    <n v="115467.2478"/>
    <x v="305"/>
    <n v="115164.66929999999"/>
    <n v="0"/>
    <m/>
    <m/>
    <m/>
    <x v="169"/>
    <x v="123"/>
    <m/>
    <m/>
    <m/>
    <m/>
    <m/>
  </r>
  <r>
    <x v="12"/>
    <n v="5"/>
    <x v="7"/>
    <x v="1"/>
    <n v="118484.3055"/>
    <n v="0"/>
    <n v="43333.333330000001"/>
    <x v="308"/>
    <n v="118484.3055"/>
    <x v="306"/>
    <n v="118197.12820000001"/>
    <n v="0"/>
    <m/>
    <m/>
    <m/>
    <x v="169"/>
    <x v="123"/>
    <m/>
    <m/>
    <m/>
    <m/>
    <m/>
  </r>
  <r>
    <x v="12"/>
    <n v="6"/>
    <x v="8"/>
    <x v="1"/>
    <n v="119933.4457"/>
    <n v="0"/>
    <n v="43333.333330000001"/>
    <x v="309"/>
    <n v="119933.4457"/>
    <x v="307"/>
    <n v="119592.4451"/>
    <n v="0"/>
    <m/>
    <m/>
    <m/>
    <x v="169"/>
    <x v="123"/>
    <m/>
    <m/>
    <m/>
    <m/>
    <m/>
  </r>
  <r>
    <x v="12"/>
    <n v="7"/>
    <x v="9"/>
    <x v="1"/>
    <n v="131161.58100000001"/>
    <n v="0"/>
    <n v="43333.333330000001"/>
    <x v="310"/>
    <n v="131161.58100000001"/>
    <x v="308"/>
    <n v="130909.133"/>
    <n v="0"/>
    <m/>
    <m/>
    <m/>
    <x v="169"/>
    <x v="123"/>
    <m/>
    <m/>
    <m/>
    <m/>
    <m/>
  </r>
  <r>
    <x v="12"/>
    <n v="8"/>
    <x v="10"/>
    <x v="1"/>
    <n v="126065.40640000001"/>
    <n v="0"/>
    <n v="43333.333330000001"/>
    <x v="311"/>
    <n v="126065.40640000001"/>
    <x v="309"/>
    <n v="125738.3165"/>
    <n v="0"/>
    <m/>
    <m/>
    <m/>
    <x v="169"/>
    <x v="123"/>
    <m/>
    <m/>
    <m/>
    <m/>
    <m/>
  </r>
  <r>
    <x v="12"/>
    <n v="9"/>
    <x v="11"/>
    <x v="1"/>
    <n v="110964.1719"/>
    <n v="0"/>
    <n v="43333.333330000001"/>
    <x v="312"/>
    <n v="110964.1719"/>
    <x v="310"/>
    <n v="110805.3425"/>
    <n v="0"/>
    <m/>
    <m/>
    <m/>
    <x v="169"/>
    <x v="123"/>
    <m/>
    <m/>
    <m/>
    <m/>
    <m/>
  </r>
  <r>
    <x v="12"/>
    <n v="10"/>
    <x v="0"/>
    <x v="1"/>
    <n v="133169.67540000001"/>
    <n v="0"/>
    <n v="43333.333330000001"/>
    <x v="313"/>
    <n v="133169.67540000001"/>
    <x v="311"/>
    <n v="132945.76949999999"/>
    <n v="0"/>
    <m/>
    <m/>
    <m/>
    <x v="169"/>
    <x v="123"/>
    <m/>
    <m/>
    <m/>
    <m/>
    <m/>
  </r>
  <r>
    <x v="12"/>
    <n v="11"/>
    <x v="1"/>
    <x v="1"/>
    <n v="115388.5169"/>
    <n v="0"/>
    <n v="43333.333330000001"/>
    <x v="314"/>
    <n v="115388.5169"/>
    <x v="312"/>
    <n v="115164.6197"/>
    <n v="0"/>
    <m/>
    <m/>
    <m/>
    <x v="169"/>
    <x v="123"/>
    <m/>
    <m/>
    <m/>
    <m/>
    <m/>
  </r>
  <r>
    <x v="12"/>
    <n v="12"/>
    <x v="2"/>
    <x v="1"/>
    <n v="89322.032550000004"/>
    <n v="0"/>
    <n v="43333.333330000001"/>
    <x v="315"/>
    <n v="89322.032550000004"/>
    <x v="313"/>
    <n v="89099.027929999997"/>
    <n v="0"/>
    <m/>
    <m/>
    <m/>
    <x v="169"/>
    <x v="123"/>
    <m/>
    <m/>
    <m/>
    <m/>
    <m/>
  </r>
  <r>
    <x v="13"/>
    <n v="1"/>
    <x v="3"/>
    <x v="1"/>
    <n v="127321.25139999999"/>
    <n v="0"/>
    <n v="43333.333330000001"/>
    <x v="316"/>
    <n v="127321.25139999999"/>
    <x v="314"/>
    <n v="127118.44409999999"/>
    <n v="0"/>
    <m/>
    <m/>
    <m/>
    <x v="169"/>
    <x v="123"/>
    <m/>
    <m/>
    <m/>
    <m/>
    <m/>
  </r>
  <r>
    <x v="13"/>
    <n v="2"/>
    <x v="4"/>
    <x v="1"/>
    <n v="131189.36739999999"/>
    <n v="0"/>
    <n v="43333.333330000001"/>
    <x v="317"/>
    <n v="131189.36739999999"/>
    <x v="315"/>
    <n v="130957.32640000001"/>
    <n v="0"/>
    <m/>
    <m/>
    <m/>
    <x v="169"/>
    <x v="123"/>
    <m/>
    <m/>
    <m/>
    <m/>
    <m/>
  </r>
  <r>
    <x v="13"/>
    <n v="3"/>
    <x v="5"/>
    <x v="1"/>
    <n v="129116.2932"/>
    <n v="0"/>
    <n v="43333.333330000001"/>
    <x v="318"/>
    <n v="129116.2932"/>
    <x v="316"/>
    <n v="128934.8296"/>
    <n v="0"/>
    <m/>
    <m/>
    <m/>
    <x v="169"/>
    <x v="123"/>
    <m/>
    <m/>
    <m/>
    <m/>
    <m/>
  </r>
  <r>
    <x v="13"/>
    <n v="4"/>
    <x v="6"/>
    <x v="1"/>
    <n v="139110.45879999999"/>
    <n v="0"/>
    <n v="43333.333330000001"/>
    <x v="319"/>
    <n v="139110.45879999999"/>
    <x v="317"/>
    <n v="138937.51800000001"/>
    <n v="0"/>
    <m/>
    <m/>
    <m/>
    <x v="169"/>
    <x v="123"/>
    <m/>
    <m/>
    <m/>
    <m/>
    <m/>
  </r>
  <r>
    <x v="13"/>
    <n v="5"/>
    <x v="7"/>
    <x v="1"/>
    <n v="142137.89009999999"/>
    <n v="0"/>
    <n v="43333.333330000001"/>
    <x v="320"/>
    <n v="142137.89009999999"/>
    <x v="318"/>
    <n v="141871.1243"/>
    <n v="0"/>
    <m/>
    <m/>
    <m/>
    <x v="169"/>
    <x v="123"/>
    <m/>
    <m/>
    <m/>
    <m/>
    <m/>
  </r>
  <r>
    <x v="13"/>
    <n v="6"/>
    <x v="8"/>
    <x v="1"/>
    <n v="146017.96830000001"/>
    <n v="0"/>
    <n v="43333.333330000001"/>
    <x v="321"/>
    <n v="146017.96830000001"/>
    <x v="319"/>
    <n v="145845.1795"/>
    <n v="0"/>
    <m/>
    <m/>
    <m/>
    <x v="169"/>
    <x v="123"/>
    <m/>
    <m/>
    <m/>
    <m/>
    <m/>
  </r>
  <r>
    <x v="13"/>
    <n v="7"/>
    <x v="9"/>
    <x v="1"/>
    <n v="187205.8909"/>
    <n v="0"/>
    <n v="43333.333330000001"/>
    <x v="322"/>
    <n v="187205.8909"/>
    <x v="320"/>
    <n v="186950.4976"/>
    <n v="0"/>
    <m/>
    <m/>
    <m/>
    <x v="169"/>
    <x v="123"/>
    <m/>
    <m/>
    <m/>
    <m/>
    <m/>
  </r>
  <r>
    <x v="13"/>
    <n v="8"/>
    <x v="10"/>
    <x v="1"/>
    <n v="126051.40609999999"/>
    <n v="0"/>
    <n v="43333.333330000001"/>
    <x v="323"/>
    <n v="126051.40609999999"/>
    <x v="321"/>
    <n v="125773.1955"/>
    <n v="0"/>
    <m/>
    <m/>
    <m/>
    <x v="169"/>
    <x v="123"/>
    <m/>
    <m/>
    <m/>
    <m/>
    <m/>
  </r>
  <r>
    <x v="13"/>
    <n v="9"/>
    <x v="11"/>
    <x v="1"/>
    <n v="135323.59820000001"/>
    <n v="0"/>
    <n v="43333.333330000001"/>
    <x v="324"/>
    <n v="135323.59820000001"/>
    <x v="322"/>
    <n v="135072.8714"/>
    <n v="0"/>
    <m/>
    <m/>
    <m/>
    <x v="169"/>
    <x v="123"/>
    <m/>
    <m/>
    <m/>
    <m/>
    <m/>
  </r>
  <r>
    <x v="13"/>
    <n v="10"/>
    <x v="0"/>
    <x v="1"/>
    <n v="129612.2433"/>
    <n v="0"/>
    <n v="43333.333330000001"/>
    <x v="325"/>
    <n v="129612.2433"/>
    <x v="323"/>
    <n v="129342.31660000001"/>
    <n v="0"/>
    <m/>
    <m/>
    <m/>
    <x v="169"/>
    <x v="123"/>
    <m/>
    <m/>
    <m/>
    <m/>
    <m/>
  </r>
  <r>
    <x v="13"/>
    <n v="11"/>
    <x v="1"/>
    <x v="1"/>
    <n v="120544.0836"/>
    <n v="0"/>
    <n v="43333.333330000001"/>
    <x v="326"/>
    <n v="120544.0836"/>
    <x v="324"/>
    <n v="120383.7384"/>
    <n v="0"/>
    <m/>
    <m/>
    <m/>
    <x v="169"/>
    <x v="123"/>
    <m/>
    <m/>
    <m/>
    <m/>
    <m/>
  </r>
  <r>
    <x v="13"/>
    <n v="12"/>
    <x v="2"/>
    <x v="1"/>
    <n v="149307.72459999999"/>
    <n v="0"/>
    <n v="43333.333330000001"/>
    <x v="327"/>
    <n v="149307.72459999999"/>
    <x v="325"/>
    <n v="148937.47719999999"/>
    <n v="0"/>
    <m/>
    <m/>
    <m/>
    <x v="169"/>
    <x v="123"/>
    <m/>
    <m/>
    <m/>
    <m/>
    <m/>
  </r>
  <r>
    <x v="14"/>
    <n v="1"/>
    <x v="3"/>
    <x v="1"/>
    <n v="110735.68399999999"/>
    <n v="0"/>
    <n v="43333.333330000001"/>
    <x v="328"/>
    <n v="110735.68399999999"/>
    <x v="326"/>
    <n v="110587.30349999999"/>
    <n v="0"/>
    <m/>
    <m/>
    <m/>
    <x v="169"/>
    <x v="123"/>
    <m/>
    <m/>
    <m/>
    <m/>
    <m/>
  </r>
  <r>
    <x v="14"/>
    <n v="2"/>
    <x v="4"/>
    <x v="1"/>
    <n v="131415.02410000001"/>
    <n v="0"/>
    <n v="43333.333330000001"/>
    <x v="329"/>
    <n v="131415.02410000001"/>
    <x v="327"/>
    <n v="131164.66990000001"/>
    <n v="0"/>
    <m/>
    <m/>
    <m/>
    <x v="169"/>
    <x v="123"/>
    <m/>
    <m/>
    <m/>
    <m/>
    <m/>
  </r>
  <r>
    <x v="14"/>
    <n v="3"/>
    <x v="5"/>
    <x v="1"/>
    <n v="152812.133"/>
    <n v="0"/>
    <n v="43333.333330000001"/>
    <x v="330"/>
    <n v="152812.133"/>
    <x v="328"/>
    <n v="152698.7335"/>
    <n v="0"/>
    <m/>
    <m/>
    <m/>
    <x v="169"/>
    <x v="123"/>
    <m/>
    <m/>
    <m/>
    <m/>
    <m/>
  </r>
  <r>
    <x v="14"/>
    <n v="4"/>
    <x v="6"/>
    <x v="1"/>
    <n v="181085.76939999999"/>
    <n v="0"/>
    <n v="43333.333330000001"/>
    <x v="331"/>
    <n v="181085.76939999999"/>
    <x v="329"/>
    <n v="180885.80790000001"/>
    <n v="0"/>
    <m/>
    <m/>
    <m/>
    <x v="169"/>
    <x v="123"/>
    <m/>
    <m/>
    <m/>
    <m/>
    <m/>
  </r>
  <r>
    <x v="14"/>
    <n v="5"/>
    <x v="7"/>
    <x v="1"/>
    <n v="132418.5888"/>
    <n v="0"/>
    <n v="43333.333330000001"/>
    <x v="332"/>
    <n v="132418.5888"/>
    <x v="330"/>
    <n v="132191.49280000001"/>
    <n v="0"/>
    <m/>
    <m/>
    <m/>
    <x v="169"/>
    <x v="123"/>
    <m/>
    <m/>
    <m/>
    <m/>
    <m/>
  </r>
  <r>
    <x v="14"/>
    <n v="6"/>
    <x v="8"/>
    <x v="1"/>
    <n v="139716.91870000001"/>
    <n v="0"/>
    <n v="43333.333330000001"/>
    <x v="333"/>
    <n v="139716.91870000001"/>
    <x v="331"/>
    <n v="138119.52239999999"/>
    <n v="0"/>
    <m/>
    <m/>
    <m/>
    <x v="169"/>
    <x v="123"/>
    <m/>
    <m/>
    <m/>
    <m/>
    <m/>
  </r>
  <r>
    <x v="14"/>
    <n v="7"/>
    <x v="9"/>
    <x v="1"/>
    <n v="129690.595"/>
    <n v="0"/>
    <n v="43333.333330000001"/>
    <x v="334"/>
    <n v="129690.595"/>
    <x v="332"/>
    <n v="129317.2491"/>
    <n v="0"/>
    <m/>
    <m/>
    <m/>
    <x v="169"/>
    <x v="123"/>
    <m/>
    <m/>
    <m/>
    <m/>
    <m/>
  </r>
  <r>
    <x v="14"/>
    <n v="8"/>
    <x v="10"/>
    <x v="1"/>
    <n v="131534.85070000001"/>
    <n v="0"/>
    <n v="43333.333330000001"/>
    <x v="335"/>
    <n v="131534.85070000001"/>
    <x v="333"/>
    <n v="131367.2862"/>
    <n v="0"/>
    <m/>
    <m/>
    <m/>
    <x v="169"/>
    <x v="123"/>
    <m/>
    <m/>
    <m/>
    <m/>
    <m/>
  </r>
  <r>
    <x v="14"/>
    <n v="9"/>
    <x v="11"/>
    <x v="1"/>
    <n v="134525.21549999999"/>
    <n v="0"/>
    <n v="43333.333330000001"/>
    <x v="336"/>
    <n v="134525.21549999999"/>
    <x v="334"/>
    <n v="134381.30100000001"/>
    <n v="0"/>
    <m/>
    <m/>
    <m/>
    <x v="169"/>
    <x v="123"/>
    <m/>
    <m/>
    <m/>
    <m/>
    <m/>
  </r>
  <r>
    <x v="14"/>
    <n v="10"/>
    <x v="0"/>
    <x v="1"/>
    <n v="135355.14290000001"/>
    <n v="0"/>
    <n v="43333.333330000001"/>
    <x v="337"/>
    <n v="135355.14290000001"/>
    <x v="335"/>
    <n v="134912.6912"/>
    <n v="0"/>
    <m/>
    <m/>
    <m/>
    <x v="169"/>
    <x v="123"/>
    <m/>
    <m/>
    <m/>
    <m/>
    <m/>
  </r>
  <r>
    <x v="14"/>
    <n v="11"/>
    <x v="1"/>
    <x v="1"/>
    <n v="113570.02469999999"/>
    <n v="0"/>
    <n v="43333.333330000001"/>
    <x v="338"/>
    <n v="113570.02469999999"/>
    <x v="336"/>
    <n v="113405.1398"/>
    <n v="0"/>
    <m/>
    <m/>
    <m/>
    <x v="169"/>
    <x v="123"/>
    <m/>
    <m/>
    <m/>
    <m/>
    <m/>
  </r>
  <r>
    <x v="14"/>
    <n v="12"/>
    <x v="2"/>
    <x v="1"/>
    <n v="133789.25589999999"/>
    <n v="0"/>
    <n v="43333.333330000001"/>
    <x v="339"/>
    <n v="133789.25589999999"/>
    <x v="337"/>
    <n v="133487.4939"/>
    <n v="0"/>
    <m/>
    <m/>
    <m/>
    <x v="169"/>
    <x v="12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3B40F-07A4-4697-8B2F-4068CDEB3E4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J2:J15" firstHeaderRow="1" firstDataRow="1" firstDataCol="1"/>
  <pivotFields count="24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8740A-7E11-4CB4-B868-49EA2F779B79}" name="TablaDiná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F2:F5" firstHeaderRow="1" firstDataRow="1" firstDataCol="1"/>
  <pivotFields count="24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28709-8A41-44B2-833C-46B90CBA84D0}" name="TablaDinámica9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 chartFormat="12">
  <location ref="A26:D38" firstHeaderRow="0" firstDataRow="1" firstDataCol="1"/>
  <pivotFields count="24">
    <pivotField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axis="axisRow" compact="0" outline="0" showAll="0" defaultSubtotal="0">
      <items count="12">
        <item x="3"/>
        <item x="4"/>
        <item x="5"/>
        <item x="6"/>
        <item x="7"/>
        <item x="8"/>
        <item x="9"/>
        <item x="10"/>
        <item x="11"/>
        <item x="0"/>
        <item x="1"/>
        <item x="2"/>
      </items>
    </pivotField>
    <pivotField compact="0" outline="0" showAll="0" defaultSubtotal="0">
      <items count="2">
        <item x="0"/>
        <item x="1"/>
      </items>
    </pivotField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name="Produccion " fld="6" baseField="2" baseItem="0" numFmtId="164"/>
    <dataField name="Consumo nacional  " fld="10" baseField="2" baseItem="0" numFmtId="164"/>
    <dataField name="Exportaciones " fld="9" baseField="2" baseItem="0" numFmtId="164"/>
  </dataFields>
  <chartFormats count="3"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E0EE6-EC94-4874-9808-B3E1808A0F33}" name="TablaDinámica1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 chartFormat="12">
  <location ref="F28:I43" firstHeaderRow="0" firstDataRow="1" firstDataCol="1"/>
  <pivotFields count="24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>
      <items count="2">
        <item x="0"/>
        <item x="1"/>
      </items>
    </pivotField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3">
    <i>
      <x/>
    </i>
    <i i="1">
      <x v="1"/>
    </i>
    <i i="2">
      <x v="2"/>
    </i>
  </colItems>
  <dataFields count="3">
    <dataField name="Produccion " fld="6" baseField="0" baseItem="0" numFmtId="164"/>
    <dataField name="Exportaciones   " fld="9" baseField="0" baseItem="0" numFmtId="164"/>
    <dataField name="Consumo nacional" fld="10" baseField="0" baseItem="0" numFmtId="164"/>
  </dataFields>
  <chartFormats count="9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D9F53-43E1-4A20-AA10-F93B33496AB2}" name="TablaDinámica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20:B21" firstHeaderRow="1" firstDataRow="1" firstDataCol="0"/>
  <pivotFields count="24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exportaciones_tot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AB959-0598-478B-B6A7-557EEBB46768}" name="TablaDinámica7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C20:C21" firstHeaderRow="1" firstDataRow="1" firstDataCol="0"/>
  <pivotFields count="24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consumo_nacional_aparent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C2BEA-CEEE-41B0-A958-6ABC73BC73B6}" name="TablaDiná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A20:A21" firstHeaderRow="1" firstDataRow="1" firstDataCol="0"/>
  <pivotFields count="24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roduccion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0BA1C-C89E-4E28-A861-93615C26ECAB}" name="TablaDinámica8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8">
  <location ref="F8:H24" firstHeaderRow="1" firstDataRow="2" firstDataCol="1"/>
  <pivotFields count="24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>
      <items count="12">
        <item x="3"/>
        <item x="4"/>
        <item x="5"/>
        <item x="6"/>
        <item x="7"/>
        <item x="8"/>
        <item x="9"/>
        <item x="10"/>
        <item x="11"/>
        <item x="0"/>
        <item x="1"/>
        <item x="2"/>
      </items>
    </pivotField>
    <pivotField axis="axisCol" compact="0" outline="0" showAll="0" defaultSubtotal="0">
      <items count="2">
        <item x="0"/>
        <item x="1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3"/>
  </colFields>
  <colItems count="2">
    <i>
      <x/>
    </i>
    <i>
      <x v="1"/>
    </i>
  </colItems>
  <dataFields count="1">
    <dataField name="Suma de consumo_nacional_aparente" fld="10" baseField="0" baseItem="0" numFmtId="164"/>
  </dataFields>
  <chartFormats count="3"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96881-2734-4A1D-937F-8720C68755E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A18" firstHeaderRow="1" firstDataRow="1" firstDataCol="1"/>
  <pivotFields count="24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BC8DB-5840-41DA-9822-C4DF34CA223F}" name="TablaDinámica17" cacheId="0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11">
  <location ref="E45:E46" firstHeaderRow="1" firstDataRow="1" firstDataCol="0"/>
  <pivotFields count="24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numFmtId="164" showAll="0"/>
    <pivotField numFmtId="164" showAll="0"/>
    <pivotField numFmtId="164" showAll="0">
      <items count="341">
        <item x="51"/>
        <item x="39"/>
        <item x="40"/>
        <item x="46"/>
        <item x="133"/>
        <item x="134"/>
        <item x="17"/>
        <item x="132"/>
        <item x="47"/>
        <item x="117"/>
        <item x="48"/>
        <item x="53"/>
        <item x="15"/>
        <item x="45"/>
        <item x="129"/>
        <item x="21"/>
        <item x="122"/>
        <item x="28"/>
        <item x="30"/>
        <item x="42"/>
        <item x="120"/>
        <item x="118"/>
        <item x="18"/>
        <item x="43"/>
        <item x="16"/>
        <item x="55"/>
        <item x="33"/>
        <item x="127"/>
        <item x="54"/>
        <item x="29"/>
        <item x="24"/>
        <item x="125"/>
        <item x="25"/>
        <item x="110"/>
        <item x="19"/>
        <item x="121"/>
        <item x="31"/>
        <item x="85"/>
        <item x="41"/>
        <item x="119"/>
        <item x="123"/>
        <item x="34"/>
        <item x="130"/>
        <item x="99"/>
        <item x="49"/>
        <item x="131"/>
        <item x="83"/>
        <item x="126"/>
        <item x="23"/>
        <item x="124"/>
        <item x="20"/>
        <item x="26"/>
        <item x="167"/>
        <item x="128"/>
        <item x="14"/>
        <item x="22"/>
        <item x="90"/>
        <item x="36"/>
        <item x="37"/>
        <item x="98"/>
        <item x="35"/>
        <item x="100"/>
        <item x="86"/>
        <item x="38"/>
        <item x="7"/>
        <item x="88"/>
        <item x="56"/>
        <item x="60"/>
        <item x="109"/>
        <item x="84"/>
        <item x="32"/>
        <item x="44"/>
        <item x="27"/>
        <item x="82"/>
        <item x="112"/>
        <item x="89"/>
        <item x="8"/>
        <item x="116"/>
        <item x="9"/>
        <item x="6"/>
        <item x="79"/>
        <item x="13"/>
        <item x="101"/>
        <item x="4"/>
        <item x="111"/>
        <item x="12"/>
        <item x="11"/>
        <item x="108"/>
        <item x="93"/>
        <item x="64"/>
        <item x="10"/>
        <item x="5"/>
        <item x="91"/>
        <item x="135"/>
        <item x="97"/>
        <item x="62"/>
        <item x="115"/>
        <item x="81"/>
        <item x="61"/>
        <item x="92"/>
        <item x="78"/>
        <item x="50"/>
        <item x="65"/>
        <item x="103"/>
        <item x="94"/>
        <item x="80"/>
        <item x="107"/>
        <item x="72"/>
        <item x="59"/>
        <item x="63"/>
        <item x="66"/>
        <item x="96"/>
        <item x="113"/>
        <item x="166"/>
        <item x="57"/>
        <item x="102"/>
        <item x="168"/>
        <item x="58"/>
        <item x="71"/>
        <item x="114"/>
        <item x="95"/>
        <item x="52"/>
        <item x="77"/>
        <item x="69"/>
        <item x="164"/>
        <item x="165"/>
        <item x="87"/>
        <item x="67"/>
        <item x="76"/>
        <item x="136"/>
        <item x="161"/>
        <item x="106"/>
        <item x="160"/>
        <item x="74"/>
        <item x="163"/>
        <item x="68"/>
        <item x="104"/>
        <item x="162"/>
        <item x="157"/>
        <item x="159"/>
        <item x="158"/>
        <item x="75"/>
        <item x="105"/>
        <item x="0"/>
        <item x="155"/>
        <item x="154"/>
        <item x="137"/>
        <item x="156"/>
        <item x="70"/>
        <item x="153"/>
        <item x="2"/>
        <item x="152"/>
        <item x="1"/>
        <item x="142"/>
        <item x="150"/>
        <item x="141"/>
        <item x="73"/>
        <item x="151"/>
        <item x="315"/>
        <item x="293"/>
        <item x="197"/>
        <item x="281"/>
        <item x="140"/>
        <item x="290"/>
        <item x="138"/>
        <item x="209"/>
        <item x="292"/>
        <item x="280"/>
        <item x="220"/>
        <item x="282"/>
        <item x="294"/>
        <item x="289"/>
        <item x="148"/>
        <item x="305"/>
        <item x="254"/>
        <item x="147"/>
        <item x="278"/>
        <item x="295"/>
        <item x="299"/>
        <item x="286"/>
        <item x="275"/>
        <item x="300"/>
        <item x="201"/>
        <item x="267"/>
        <item x="269"/>
        <item x="287"/>
        <item x="271"/>
        <item x="303"/>
        <item x="279"/>
        <item x="304"/>
        <item x="328"/>
        <item x="312"/>
        <item x="149"/>
        <item x="195"/>
        <item x="185"/>
        <item x="298"/>
        <item x="296"/>
        <item x="256"/>
        <item x="144"/>
        <item x="229"/>
        <item x="270"/>
        <item x="203"/>
        <item x="306"/>
        <item x="302"/>
        <item x="268"/>
        <item x="245"/>
        <item x="338"/>
        <item x="218"/>
        <item x="284"/>
        <item x="288"/>
        <item x="266"/>
        <item x="314"/>
        <item x="307"/>
        <item x="233"/>
        <item x="207"/>
        <item x="139"/>
        <item x="198"/>
        <item x="272"/>
        <item x="241"/>
        <item x="206"/>
        <item x="244"/>
        <item x="146"/>
        <item x="277"/>
        <item x="196"/>
        <item x="193"/>
        <item x="308"/>
        <item x="257"/>
        <item x="210"/>
        <item x="222"/>
        <item x="199"/>
        <item x="265"/>
        <item x="215"/>
        <item x="276"/>
        <item x="309"/>
        <item x="285"/>
        <item x="217"/>
        <item x="273"/>
        <item x="326"/>
        <item x="263"/>
        <item x="291"/>
        <item x="235"/>
        <item x="283"/>
        <item x="255"/>
        <item x="301"/>
        <item x="231"/>
        <item x="258"/>
        <item x="221"/>
        <item x="224"/>
        <item x="274"/>
        <item x="173"/>
        <item x="208"/>
        <item x="205"/>
        <item x="253"/>
        <item x="323"/>
        <item x="311"/>
        <item x="232"/>
        <item x="264"/>
        <item x="219"/>
        <item x="189"/>
        <item x="316"/>
        <item x="246"/>
        <item x="240"/>
        <item x="216"/>
        <item x="192"/>
        <item x="194"/>
        <item x="297"/>
        <item x="318"/>
        <item x="202"/>
        <item x="183"/>
        <item x="325"/>
        <item x="334"/>
        <item x="242"/>
        <item x="186"/>
        <item x="223"/>
        <item x="310"/>
        <item x="317"/>
        <item x="329"/>
        <item x="335"/>
        <item x="188"/>
        <item x="228"/>
        <item x="230"/>
        <item x="252"/>
        <item x="212"/>
        <item x="332"/>
        <item x="226"/>
        <item x="313"/>
        <item x="339"/>
        <item x="200"/>
        <item x="336"/>
        <item x="211"/>
        <item x="239"/>
        <item x="262"/>
        <item x="171"/>
        <item x="324"/>
        <item x="337"/>
        <item x="143"/>
        <item x="234"/>
        <item x="213"/>
        <item x="248"/>
        <item x="261"/>
        <item x="145"/>
        <item x="250"/>
        <item x="227"/>
        <item x="319"/>
        <item x="251"/>
        <item x="237"/>
        <item x="333"/>
        <item x="249"/>
        <item x="191"/>
        <item x="169"/>
        <item x="204"/>
        <item x="238"/>
        <item x="320"/>
        <item x="181"/>
        <item x="172"/>
        <item x="187"/>
        <item x="214"/>
        <item x="180"/>
        <item x="260"/>
        <item x="184"/>
        <item x="190"/>
        <item x="259"/>
        <item x="321"/>
        <item x="247"/>
        <item x="243"/>
        <item x="327"/>
        <item x="182"/>
        <item x="225"/>
        <item x="170"/>
        <item x="236"/>
        <item x="330"/>
        <item x="179"/>
        <item x="174"/>
        <item x="176"/>
        <item x="177"/>
        <item x="178"/>
        <item x="3"/>
        <item x="175"/>
        <item x="331"/>
        <item x="322"/>
        <item t="default"/>
      </items>
    </pivotField>
    <pivotField dataField="1" numFmtId="164" showAll="0"/>
    <pivotField numFmtId="164" showAll="0">
      <items count="339">
        <item x="257"/>
        <item x="328"/>
        <item x="334"/>
        <item x="326"/>
        <item x="265"/>
        <item x="299"/>
        <item x="310"/>
        <item x="324"/>
        <item x="336"/>
        <item x="298"/>
        <item x="333"/>
        <item x="319"/>
        <item x="317"/>
        <item x="316"/>
        <item x="278"/>
        <item x="329"/>
        <item x="290"/>
        <item x="314"/>
        <item x="267"/>
        <item x="302"/>
        <item x="276"/>
        <item x="254"/>
        <item x="313"/>
        <item x="312"/>
        <item x="311"/>
        <item x="330"/>
        <item x="315"/>
        <item x="291"/>
        <item x="274"/>
        <item x="304"/>
        <item x="242"/>
        <item x="327"/>
        <item x="322"/>
        <item x="266"/>
        <item x="301"/>
        <item x="308"/>
        <item x="255"/>
        <item x="320"/>
        <item x="300"/>
        <item x="303"/>
        <item x="272"/>
        <item x="277"/>
        <item x="292"/>
        <item x="318"/>
        <item x="260"/>
        <item x="323"/>
        <item x="287"/>
        <item x="321"/>
        <item x="268"/>
        <item x="261"/>
        <item x="280"/>
        <item x="259"/>
        <item x="306"/>
        <item x="279"/>
        <item x="249"/>
        <item x="248"/>
        <item x="282"/>
        <item x="256"/>
        <item x="337"/>
        <item x="305"/>
        <item x="273"/>
        <item x="283"/>
        <item x="241"/>
        <item x="309"/>
        <item x="240"/>
        <item x="271"/>
        <item x="243"/>
        <item x="244"/>
        <item x="307"/>
        <item x="251"/>
        <item x="258"/>
        <item x="239"/>
        <item x="288"/>
        <item x="263"/>
        <item x="325"/>
        <item x="332"/>
        <item x="250"/>
        <item x="289"/>
        <item x="275"/>
        <item x="264"/>
        <item x="262"/>
        <item x="284"/>
        <item x="293"/>
        <item x="335"/>
        <item x="247"/>
        <item x="281"/>
        <item x="285"/>
        <item x="297"/>
        <item x="295"/>
        <item x="252"/>
        <item x="270"/>
        <item x="296"/>
        <item x="294"/>
        <item x="286"/>
        <item x="245"/>
        <item x="246"/>
        <item x="269"/>
        <item x="253"/>
        <item x="331"/>
        <item x="171"/>
        <item x="172"/>
        <item x="179"/>
        <item x="175"/>
        <item x="174"/>
        <item x="182"/>
        <item x="178"/>
        <item x="216"/>
        <item x="186"/>
        <item x="238"/>
        <item x="180"/>
        <item x="181"/>
        <item x="187"/>
        <item x="176"/>
        <item x="185"/>
        <item x="217"/>
        <item x="173"/>
        <item x="219"/>
        <item x="220"/>
        <item x="177"/>
        <item x="190"/>
        <item x="188"/>
        <item x="237"/>
        <item x="230"/>
        <item x="211"/>
        <item x="183"/>
        <item x="208"/>
        <item x="231"/>
        <item x="199"/>
        <item x="215"/>
        <item x="218"/>
        <item x="191"/>
        <item x="212"/>
        <item x="209"/>
        <item x="194"/>
        <item x="214"/>
        <item x="233"/>
        <item x="200"/>
        <item x="196"/>
        <item x="207"/>
        <item x="189"/>
        <item x="205"/>
        <item x="192"/>
        <item x="193"/>
        <item x="210"/>
        <item x="184"/>
        <item x="227"/>
        <item x="197"/>
        <item x="213"/>
        <item x="236"/>
        <item x="198"/>
        <item x="195"/>
        <item x="222"/>
        <item x="224"/>
        <item x="206"/>
        <item x="203"/>
        <item x="201"/>
        <item x="225"/>
        <item x="229"/>
        <item x="228"/>
        <item x="226"/>
        <item x="221"/>
        <item x="234"/>
        <item x="232"/>
        <item x="204"/>
        <item x="202"/>
        <item x="235"/>
        <item x="223"/>
        <item x="156"/>
        <item x="169"/>
        <item x="37"/>
        <item x="144"/>
        <item x="38"/>
        <item x="154"/>
        <item x="153"/>
        <item x="108"/>
        <item x="48"/>
        <item x="49"/>
        <item x="72"/>
        <item x="109"/>
        <item x="170"/>
        <item x="150"/>
        <item x="132"/>
        <item x="98"/>
        <item x="87"/>
        <item x="145"/>
        <item x="152"/>
        <item x="155"/>
        <item x="35"/>
        <item x="73"/>
        <item x="36"/>
        <item x="2"/>
        <item x="120"/>
        <item x="96"/>
        <item x="1"/>
        <item x="168"/>
        <item x="8"/>
        <item x="61"/>
        <item x="146"/>
        <item x="13"/>
        <item x="143"/>
        <item x="11"/>
        <item x="133"/>
        <item x="84"/>
        <item x="3"/>
        <item x="97"/>
        <item x="50"/>
        <item x="60"/>
        <item x="164"/>
        <item x="161"/>
        <item x="55"/>
        <item x="110"/>
        <item x="158"/>
        <item x="74"/>
        <item x="151"/>
        <item x="157"/>
        <item x="0"/>
        <item x="118"/>
        <item x="7"/>
        <item x="141"/>
        <item x="52"/>
        <item x="166"/>
        <item x="14"/>
        <item x="68"/>
        <item x="147"/>
        <item x="39"/>
        <item x="122"/>
        <item x="79"/>
        <item x="10"/>
        <item x="9"/>
        <item x="162"/>
        <item x="167"/>
        <item x="121"/>
        <item x="70"/>
        <item x="165"/>
        <item x="107"/>
        <item x="80"/>
        <item x="117"/>
        <item x="69"/>
        <item x="134"/>
        <item x="58"/>
        <item x="75"/>
        <item x="62"/>
        <item x="5"/>
        <item x="4"/>
        <item x="65"/>
        <item x="142"/>
        <item x="12"/>
        <item x="82"/>
        <item x="53"/>
        <item x="104"/>
        <item x="15"/>
        <item x="6"/>
        <item x="64"/>
        <item x="34"/>
        <item x="139"/>
        <item x="159"/>
        <item x="138"/>
        <item x="129"/>
        <item x="27"/>
        <item x="100"/>
        <item x="57"/>
        <item x="148"/>
        <item x="40"/>
        <item x="86"/>
        <item x="131"/>
        <item x="44"/>
        <item x="85"/>
        <item x="99"/>
        <item x="105"/>
        <item x="149"/>
        <item x="119"/>
        <item x="112"/>
        <item x="106"/>
        <item x="41"/>
        <item x="54"/>
        <item x="116"/>
        <item x="111"/>
        <item x="59"/>
        <item x="51"/>
        <item x="16"/>
        <item x="63"/>
        <item x="103"/>
        <item x="140"/>
        <item x="78"/>
        <item x="81"/>
        <item x="83"/>
        <item x="42"/>
        <item x="76"/>
        <item x="115"/>
        <item x="160"/>
        <item x="33"/>
        <item x="56"/>
        <item x="47"/>
        <item x="128"/>
        <item x="71"/>
        <item x="137"/>
        <item x="32"/>
        <item x="123"/>
        <item x="135"/>
        <item x="163"/>
        <item x="94"/>
        <item x="43"/>
        <item x="113"/>
        <item x="101"/>
        <item x="92"/>
        <item x="45"/>
        <item x="136"/>
        <item x="127"/>
        <item x="89"/>
        <item x="20"/>
        <item x="18"/>
        <item x="17"/>
        <item x="26"/>
        <item x="130"/>
        <item x="126"/>
        <item x="46"/>
        <item x="67"/>
        <item x="66"/>
        <item x="125"/>
        <item x="19"/>
        <item x="23"/>
        <item x="28"/>
        <item x="124"/>
        <item x="88"/>
        <item x="25"/>
        <item x="24"/>
        <item x="93"/>
        <item x="102"/>
        <item x="22"/>
        <item x="77"/>
        <item x="95"/>
        <item x="29"/>
        <item x="21"/>
        <item x="114"/>
        <item x="91"/>
        <item x="30"/>
        <item x="90"/>
        <item x="31"/>
        <item t="default"/>
      </items>
    </pivotField>
    <pivotField numFmtId="164" showAll="0"/>
    <pivotField numFmtId="164" showAll="0"/>
    <pivotField showAll="0"/>
    <pivotField showAll="0"/>
    <pivotField showAll="0"/>
    <pivotField showAll="0">
      <items count="171">
        <item x="144"/>
        <item x="132"/>
        <item x="108"/>
        <item x="49"/>
        <item x="154"/>
        <item x="37"/>
        <item x="153"/>
        <item x="72"/>
        <item x="167"/>
        <item x="86"/>
        <item x="98"/>
        <item x="39"/>
        <item x="109"/>
        <item x="38"/>
        <item x="87"/>
        <item x="155"/>
        <item x="150"/>
        <item x="110"/>
        <item x="165"/>
        <item x="164"/>
        <item x="96"/>
        <item x="120"/>
        <item x="162"/>
        <item x="156"/>
        <item x="36"/>
        <item x="152"/>
        <item x="73"/>
        <item x="84"/>
        <item x="145"/>
        <item x="168"/>
        <item x="35"/>
        <item x="143"/>
        <item x="65"/>
        <item x="85"/>
        <item x="97"/>
        <item x="133"/>
        <item x="68"/>
        <item x="61"/>
        <item x="48"/>
        <item x="122"/>
        <item x="8"/>
        <item x="2"/>
        <item x="157"/>
        <item x="1"/>
        <item x="163"/>
        <item x="11"/>
        <item x="166"/>
        <item x="159"/>
        <item x="118"/>
        <item x="146"/>
        <item x="121"/>
        <item x="70"/>
        <item x="13"/>
        <item x="3"/>
        <item x="60"/>
        <item x="74"/>
        <item x="0"/>
        <item x="7"/>
        <item x="95"/>
        <item x="117"/>
        <item x="141"/>
        <item x="79"/>
        <item x="83"/>
        <item x="80"/>
        <item x="119"/>
        <item x="160"/>
        <item x="151"/>
        <item x="131"/>
        <item x="147"/>
        <item x="107"/>
        <item x="69"/>
        <item x="50"/>
        <item x="134"/>
        <item x="9"/>
        <item x="10"/>
        <item x="92"/>
        <item x="142"/>
        <item x="27"/>
        <item x="82"/>
        <item x="55"/>
        <item x="158"/>
        <item x="14"/>
        <item x="34"/>
        <item x="62"/>
        <item x="129"/>
        <item x="91"/>
        <item x="4"/>
        <item x="5"/>
        <item x="52"/>
        <item x="94"/>
        <item x="33"/>
        <item x="93"/>
        <item x="139"/>
        <item x="104"/>
        <item x="75"/>
        <item x="115"/>
        <item x="58"/>
        <item x="138"/>
        <item x="12"/>
        <item x="6"/>
        <item x="113"/>
        <item x="116"/>
        <item x="57"/>
        <item x="64"/>
        <item x="59"/>
        <item x="15"/>
        <item x="100"/>
        <item x="112"/>
        <item x="111"/>
        <item x="149"/>
        <item x="127"/>
        <item x="105"/>
        <item x="148"/>
        <item x="99"/>
        <item x="32"/>
        <item x="90"/>
        <item x="106"/>
        <item x="40"/>
        <item x="161"/>
        <item x="128"/>
        <item x="53"/>
        <item x="123"/>
        <item x="42"/>
        <item x="44"/>
        <item x="26"/>
        <item x="63"/>
        <item x="16"/>
        <item x="125"/>
        <item x="81"/>
        <item x="140"/>
        <item x="41"/>
        <item x="103"/>
        <item x="137"/>
        <item x="89"/>
        <item x="126"/>
        <item x="71"/>
        <item x="54"/>
        <item x="51"/>
        <item x="78"/>
        <item x="67"/>
        <item x="47"/>
        <item x="28"/>
        <item x="76"/>
        <item x="124"/>
        <item x="43"/>
        <item x="88"/>
        <item x="135"/>
        <item x="130"/>
        <item x="29"/>
        <item x="17"/>
        <item x="101"/>
        <item x="114"/>
        <item x="56"/>
        <item x="20"/>
        <item x="18"/>
        <item x="136"/>
        <item x="19"/>
        <item x="30"/>
        <item x="25"/>
        <item x="66"/>
        <item x="45"/>
        <item x="46"/>
        <item x="23"/>
        <item x="24"/>
        <item x="21"/>
        <item x="31"/>
        <item x="102"/>
        <item x="22"/>
        <item x="77"/>
        <item x="169"/>
        <item t="default"/>
      </items>
    </pivotField>
    <pivotField showAll="0">
      <items count="125">
        <item x="0"/>
        <item x="29"/>
        <item x="1"/>
        <item x="26"/>
        <item x="24"/>
        <item x="2"/>
        <item x="49"/>
        <item x="54"/>
        <item x="45"/>
        <item x="3"/>
        <item x="75"/>
        <item x="50"/>
        <item x="76"/>
        <item x="51"/>
        <item x="52"/>
        <item x="46"/>
        <item x="30"/>
        <item x="47"/>
        <item x="48"/>
        <item x="53"/>
        <item x="74"/>
        <item x="44"/>
        <item x="71"/>
        <item x="100"/>
        <item x="72"/>
        <item x="77"/>
        <item x="73"/>
        <item x="102"/>
        <item x="104"/>
        <item x="103"/>
        <item x="106"/>
        <item x="101"/>
        <item x="122"/>
        <item x="107"/>
        <item x="79"/>
        <item x="36"/>
        <item x="34"/>
        <item x="98"/>
        <item x="84"/>
        <item x="43"/>
        <item x="70"/>
        <item x="120"/>
        <item x="86"/>
        <item x="4"/>
        <item x="38"/>
        <item x="80"/>
        <item x="85"/>
        <item x="88"/>
        <item x="11"/>
        <item x="23"/>
        <item x="108"/>
        <item x="40"/>
        <item x="35"/>
        <item x="99"/>
        <item x="114"/>
        <item x="121"/>
        <item x="68"/>
        <item x="37"/>
        <item x="59"/>
        <item x="90"/>
        <item x="105"/>
        <item x="113"/>
        <item x="32"/>
        <item x="97"/>
        <item x="10"/>
        <item x="118"/>
        <item x="12"/>
        <item x="55"/>
        <item x="87"/>
        <item x="6"/>
        <item x="69"/>
        <item x="96"/>
        <item x="89"/>
        <item x="8"/>
        <item x="7"/>
        <item x="42"/>
        <item x="22"/>
        <item x="56"/>
        <item x="31"/>
        <item x="5"/>
        <item x="78"/>
        <item x="28"/>
        <item x="119"/>
        <item x="117"/>
        <item x="116"/>
        <item x="110"/>
        <item x="91"/>
        <item x="61"/>
        <item x="27"/>
        <item x="9"/>
        <item x="94"/>
        <item x="13"/>
        <item x="33"/>
        <item x="15"/>
        <item x="83"/>
        <item x="41"/>
        <item x="20"/>
        <item x="39"/>
        <item x="115"/>
        <item x="92"/>
        <item x="109"/>
        <item x="93"/>
        <item x="25"/>
        <item x="60"/>
        <item x="19"/>
        <item x="81"/>
        <item x="95"/>
        <item x="21"/>
        <item x="111"/>
        <item x="16"/>
        <item x="112"/>
        <item x="66"/>
        <item x="14"/>
        <item x="57"/>
        <item x="58"/>
        <item x="82"/>
        <item x="18"/>
        <item x="64"/>
        <item x="17"/>
        <item x="65"/>
        <item x="67"/>
        <item x="62"/>
        <item x="63"/>
        <item x="123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demanda_total" fld="8" baseField="0" baseItem="0" numFmtId="164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C9E0B-27CA-45B7-A7E9-E1B613E5B82B}" name="TablaDinámica3" cacheId="0" dataOnRows="1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chartFormat="11">
  <location ref="A41:B43" firstHeaderRow="1" firstDataRow="1" firstDataCol="1"/>
  <pivotFields count="24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numFmtId="164" showAll="0"/>
    <pivotField numFmtId="164" showAll="0"/>
    <pivotField numFmtId="164" showAll="0">
      <items count="341">
        <item x="51"/>
        <item x="39"/>
        <item x="40"/>
        <item x="46"/>
        <item x="133"/>
        <item x="134"/>
        <item x="17"/>
        <item x="132"/>
        <item x="47"/>
        <item x="117"/>
        <item x="48"/>
        <item x="53"/>
        <item x="15"/>
        <item x="45"/>
        <item x="129"/>
        <item x="21"/>
        <item x="122"/>
        <item x="28"/>
        <item x="30"/>
        <item x="42"/>
        <item x="120"/>
        <item x="118"/>
        <item x="18"/>
        <item x="43"/>
        <item x="16"/>
        <item x="55"/>
        <item x="33"/>
        <item x="127"/>
        <item x="54"/>
        <item x="29"/>
        <item x="24"/>
        <item x="125"/>
        <item x="25"/>
        <item x="110"/>
        <item x="19"/>
        <item x="121"/>
        <item x="31"/>
        <item x="85"/>
        <item x="41"/>
        <item x="119"/>
        <item x="123"/>
        <item x="34"/>
        <item x="130"/>
        <item x="99"/>
        <item x="49"/>
        <item x="131"/>
        <item x="83"/>
        <item x="126"/>
        <item x="23"/>
        <item x="124"/>
        <item x="20"/>
        <item x="26"/>
        <item x="167"/>
        <item x="128"/>
        <item x="14"/>
        <item x="22"/>
        <item x="90"/>
        <item x="36"/>
        <item x="37"/>
        <item x="98"/>
        <item x="35"/>
        <item x="100"/>
        <item x="86"/>
        <item x="38"/>
        <item x="7"/>
        <item x="88"/>
        <item x="56"/>
        <item x="60"/>
        <item x="109"/>
        <item x="84"/>
        <item x="32"/>
        <item x="44"/>
        <item x="27"/>
        <item x="82"/>
        <item x="112"/>
        <item x="89"/>
        <item x="8"/>
        <item x="116"/>
        <item x="9"/>
        <item x="6"/>
        <item x="79"/>
        <item x="13"/>
        <item x="101"/>
        <item x="4"/>
        <item x="111"/>
        <item x="12"/>
        <item x="11"/>
        <item x="108"/>
        <item x="93"/>
        <item x="64"/>
        <item x="10"/>
        <item x="5"/>
        <item x="91"/>
        <item x="135"/>
        <item x="97"/>
        <item x="62"/>
        <item x="115"/>
        <item x="81"/>
        <item x="61"/>
        <item x="92"/>
        <item x="78"/>
        <item x="50"/>
        <item x="65"/>
        <item x="103"/>
        <item x="94"/>
        <item x="80"/>
        <item x="107"/>
        <item x="72"/>
        <item x="59"/>
        <item x="63"/>
        <item x="66"/>
        <item x="96"/>
        <item x="113"/>
        <item x="166"/>
        <item x="57"/>
        <item x="102"/>
        <item x="168"/>
        <item x="58"/>
        <item x="71"/>
        <item x="114"/>
        <item x="95"/>
        <item x="52"/>
        <item x="77"/>
        <item x="69"/>
        <item x="164"/>
        <item x="165"/>
        <item x="87"/>
        <item x="67"/>
        <item x="76"/>
        <item x="136"/>
        <item x="161"/>
        <item x="106"/>
        <item x="160"/>
        <item x="74"/>
        <item x="163"/>
        <item x="68"/>
        <item x="104"/>
        <item x="162"/>
        <item x="157"/>
        <item x="159"/>
        <item x="158"/>
        <item x="75"/>
        <item x="105"/>
        <item x="0"/>
        <item x="155"/>
        <item x="154"/>
        <item x="137"/>
        <item x="156"/>
        <item x="70"/>
        <item x="153"/>
        <item x="2"/>
        <item x="152"/>
        <item x="1"/>
        <item x="142"/>
        <item x="150"/>
        <item x="141"/>
        <item x="73"/>
        <item x="151"/>
        <item x="315"/>
        <item x="293"/>
        <item x="197"/>
        <item x="281"/>
        <item x="140"/>
        <item x="290"/>
        <item x="138"/>
        <item x="209"/>
        <item x="292"/>
        <item x="280"/>
        <item x="220"/>
        <item x="282"/>
        <item x="294"/>
        <item x="289"/>
        <item x="148"/>
        <item x="305"/>
        <item x="254"/>
        <item x="147"/>
        <item x="278"/>
        <item x="295"/>
        <item x="299"/>
        <item x="286"/>
        <item x="275"/>
        <item x="300"/>
        <item x="201"/>
        <item x="267"/>
        <item x="269"/>
        <item x="287"/>
        <item x="271"/>
        <item x="303"/>
        <item x="279"/>
        <item x="304"/>
        <item x="328"/>
        <item x="312"/>
        <item x="149"/>
        <item x="195"/>
        <item x="185"/>
        <item x="298"/>
        <item x="296"/>
        <item x="256"/>
        <item x="144"/>
        <item x="229"/>
        <item x="270"/>
        <item x="203"/>
        <item x="306"/>
        <item x="302"/>
        <item x="268"/>
        <item x="245"/>
        <item x="338"/>
        <item x="218"/>
        <item x="284"/>
        <item x="288"/>
        <item x="266"/>
        <item x="314"/>
        <item x="307"/>
        <item x="233"/>
        <item x="207"/>
        <item x="139"/>
        <item x="198"/>
        <item x="272"/>
        <item x="241"/>
        <item x="206"/>
        <item x="244"/>
        <item x="146"/>
        <item x="277"/>
        <item x="196"/>
        <item x="193"/>
        <item x="308"/>
        <item x="257"/>
        <item x="210"/>
        <item x="222"/>
        <item x="199"/>
        <item x="265"/>
        <item x="215"/>
        <item x="276"/>
        <item x="309"/>
        <item x="285"/>
        <item x="217"/>
        <item x="273"/>
        <item x="326"/>
        <item x="263"/>
        <item x="291"/>
        <item x="235"/>
        <item x="283"/>
        <item x="255"/>
        <item x="301"/>
        <item x="231"/>
        <item x="258"/>
        <item x="221"/>
        <item x="224"/>
        <item x="274"/>
        <item x="173"/>
        <item x="208"/>
        <item x="205"/>
        <item x="253"/>
        <item x="323"/>
        <item x="311"/>
        <item x="232"/>
        <item x="264"/>
        <item x="219"/>
        <item x="189"/>
        <item x="316"/>
        <item x="246"/>
        <item x="240"/>
        <item x="216"/>
        <item x="192"/>
        <item x="194"/>
        <item x="297"/>
        <item x="318"/>
        <item x="202"/>
        <item x="183"/>
        <item x="325"/>
        <item x="334"/>
        <item x="242"/>
        <item x="186"/>
        <item x="223"/>
        <item x="310"/>
        <item x="317"/>
        <item x="329"/>
        <item x="335"/>
        <item x="188"/>
        <item x="228"/>
        <item x="230"/>
        <item x="252"/>
        <item x="212"/>
        <item x="332"/>
        <item x="226"/>
        <item x="313"/>
        <item x="339"/>
        <item x="200"/>
        <item x="336"/>
        <item x="211"/>
        <item x="239"/>
        <item x="262"/>
        <item x="171"/>
        <item x="324"/>
        <item x="337"/>
        <item x="143"/>
        <item x="234"/>
        <item x="213"/>
        <item x="248"/>
        <item x="261"/>
        <item x="145"/>
        <item x="250"/>
        <item x="227"/>
        <item x="319"/>
        <item x="251"/>
        <item x="237"/>
        <item x="333"/>
        <item x="249"/>
        <item x="191"/>
        <item x="169"/>
        <item x="204"/>
        <item x="238"/>
        <item x="320"/>
        <item x="181"/>
        <item x="172"/>
        <item x="187"/>
        <item x="214"/>
        <item x="180"/>
        <item x="260"/>
        <item x="184"/>
        <item x="190"/>
        <item x="259"/>
        <item x="321"/>
        <item x="247"/>
        <item x="243"/>
        <item x="327"/>
        <item x="182"/>
        <item x="225"/>
        <item x="170"/>
        <item x="236"/>
        <item x="330"/>
        <item x="179"/>
        <item x="174"/>
        <item x="176"/>
        <item x="177"/>
        <item x="178"/>
        <item x="3"/>
        <item x="175"/>
        <item x="331"/>
        <item x="322"/>
        <item t="default"/>
      </items>
    </pivotField>
    <pivotField numFmtId="164" showAll="0"/>
    <pivotField numFmtId="164" showAll="0">
      <items count="339">
        <item x="257"/>
        <item x="328"/>
        <item x="334"/>
        <item x="326"/>
        <item x="265"/>
        <item x="299"/>
        <item x="310"/>
        <item x="324"/>
        <item x="336"/>
        <item x="298"/>
        <item x="333"/>
        <item x="319"/>
        <item x="317"/>
        <item x="316"/>
        <item x="278"/>
        <item x="329"/>
        <item x="290"/>
        <item x="314"/>
        <item x="267"/>
        <item x="302"/>
        <item x="276"/>
        <item x="254"/>
        <item x="313"/>
        <item x="312"/>
        <item x="311"/>
        <item x="330"/>
        <item x="315"/>
        <item x="291"/>
        <item x="274"/>
        <item x="304"/>
        <item x="242"/>
        <item x="327"/>
        <item x="322"/>
        <item x="266"/>
        <item x="301"/>
        <item x="308"/>
        <item x="255"/>
        <item x="320"/>
        <item x="300"/>
        <item x="303"/>
        <item x="272"/>
        <item x="277"/>
        <item x="292"/>
        <item x="318"/>
        <item x="260"/>
        <item x="323"/>
        <item x="287"/>
        <item x="321"/>
        <item x="268"/>
        <item x="261"/>
        <item x="280"/>
        <item x="259"/>
        <item x="306"/>
        <item x="279"/>
        <item x="249"/>
        <item x="248"/>
        <item x="282"/>
        <item x="256"/>
        <item x="337"/>
        <item x="305"/>
        <item x="273"/>
        <item x="283"/>
        <item x="241"/>
        <item x="309"/>
        <item x="240"/>
        <item x="271"/>
        <item x="243"/>
        <item x="244"/>
        <item x="307"/>
        <item x="251"/>
        <item x="258"/>
        <item x="239"/>
        <item x="288"/>
        <item x="263"/>
        <item x="325"/>
        <item x="332"/>
        <item x="250"/>
        <item x="289"/>
        <item x="275"/>
        <item x="264"/>
        <item x="262"/>
        <item x="284"/>
        <item x="293"/>
        <item x="335"/>
        <item x="247"/>
        <item x="281"/>
        <item x="285"/>
        <item x="297"/>
        <item x="295"/>
        <item x="252"/>
        <item x="270"/>
        <item x="296"/>
        <item x="294"/>
        <item x="286"/>
        <item x="245"/>
        <item x="246"/>
        <item x="269"/>
        <item x="253"/>
        <item x="331"/>
        <item x="171"/>
        <item x="172"/>
        <item x="179"/>
        <item x="175"/>
        <item x="174"/>
        <item x="182"/>
        <item x="178"/>
        <item x="216"/>
        <item x="186"/>
        <item x="238"/>
        <item x="180"/>
        <item x="181"/>
        <item x="187"/>
        <item x="176"/>
        <item x="185"/>
        <item x="217"/>
        <item x="173"/>
        <item x="219"/>
        <item x="220"/>
        <item x="177"/>
        <item x="190"/>
        <item x="188"/>
        <item x="237"/>
        <item x="230"/>
        <item x="211"/>
        <item x="183"/>
        <item x="208"/>
        <item x="231"/>
        <item x="199"/>
        <item x="215"/>
        <item x="218"/>
        <item x="191"/>
        <item x="212"/>
        <item x="209"/>
        <item x="194"/>
        <item x="214"/>
        <item x="233"/>
        <item x="200"/>
        <item x="196"/>
        <item x="207"/>
        <item x="189"/>
        <item x="205"/>
        <item x="192"/>
        <item x="193"/>
        <item x="210"/>
        <item x="184"/>
        <item x="227"/>
        <item x="197"/>
        <item x="213"/>
        <item x="236"/>
        <item x="198"/>
        <item x="195"/>
        <item x="222"/>
        <item x="224"/>
        <item x="206"/>
        <item x="203"/>
        <item x="201"/>
        <item x="225"/>
        <item x="229"/>
        <item x="228"/>
        <item x="226"/>
        <item x="221"/>
        <item x="234"/>
        <item x="232"/>
        <item x="204"/>
        <item x="202"/>
        <item x="235"/>
        <item x="223"/>
        <item x="156"/>
        <item x="169"/>
        <item x="37"/>
        <item x="144"/>
        <item x="38"/>
        <item x="154"/>
        <item x="153"/>
        <item x="108"/>
        <item x="48"/>
        <item x="49"/>
        <item x="72"/>
        <item x="109"/>
        <item x="170"/>
        <item x="150"/>
        <item x="132"/>
        <item x="98"/>
        <item x="87"/>
        <item x="145"/>
        <item x="152"/>
        <item x="155"/>
        <item x="35"/>
        <item x="73"/>
        <item x="36"/>
        <item x="2"/>
        <item x="120"/>
        <item x="96"/>
        <item x="1"/>
        <item x="168"/>
        <item x="8"/>
        <item x="61"/>
        <item x="146"/>
        <item x="13"/>
        <item x="143"/>
        <item x="11"/>
        <item x="133"/>
        <item x="84"/>
        <item x="3"/>
        <item x="97"/>
        <item x="50"/>
        <item x="60"/>
        <item x="164"/>
        <item x="161"/>
        <item x="55"/>
        <item x="110"/>
        <item x="158"/>
        <item x="74"/>
        <item x="151"/>
        <item x="157"/>
        <item x="0"/>
        <item x="118"/>
        <item x="7"/>
        <item x="141"/>
        <item x="52"/>
        <item x="166"/>
        <item x="14"/>
        <item x="68"/>
        <item x="147"/>
        <item x="39"/>
        <item x="122"/>
        <item x="79"/>
        <item x="10"/>
        <item x="9"/>
        <item x="162"/>
        <item x="167"/>
        <item x="121"/>
        <item x="70"/>
        <item x="165"/>
        <item x="107"/>
        <item x="80"/>
        <item x="117"/>
        <item x="69"/>
        <item x="134"/>
        <item x="58"/>
        <item x="75"/>
        <item x="62"/>
        <item x="5"/>
        <item x="4"/>
        <item x="65"/>
        <item x="142"/>
        <item x="12"/>
        <item x="82"/>
        <item x="53"/>
        <item x="104"/>
        <item x="15"/>
        <item x="6"/>
        <item x="64"/>
        <item x="34"/>
        <item x="139"/>
        <item x="159"/>
        <item x="138"/>
        <item x="129"/>
        <item x="27"/>
        <item x="100"/>
        <item x="57"/>
        <item x="148"/>
        <item x="40"/>
        <item x="86"/>
        <item x="131"/>
        <item x="44"/>
        <item x="85"/>
        <item x="99"/>
        <item x="105"/>
        <item x="149"/>
        <item x="119"/>
        <item x="112"/>
        <item x="106"/>
        <item x="41"/>
        <item x="54"/>
        <item x="116"/>
        <item x="111"/>
        <item x="59"/>
        <item x="51"/>
        <item x="16"/>
        <item x="63"/>
        <item x="103"/>
        <item x="140"/>
        <item x="78"/>
        <item x="81"/>
        <item x="83"/>
        <item x="42"/>
        <item x="76"/>
        <item x="115"/>
        <item x="160"/>
        <item x="33"/>
        <item x="56"/>
        <item x="47"/>
        <item x="128"/>
        <item x="71"/>
        <item x="137"/>
        <item x="32"/>
        <item x="123"/>
        <item x="135"/>
        <item x="163"/>
        <item x="94"/>
        <item x="43"/>
        <item x="113"/>
        <item x="101"/>
        <item x="92"/>
        <item x="45"/>
        <item x="136"/>
        <item x="127"/>
        <item x="89"/>
        <item x="20"/>
        <item x="18"/>
        <item x="17"/>
        <item x="26"/>
        <item x="130"/>
        <item x="126"/>
        <item x="46"/>
        <item x="67"/>
        <item x="66"/>
        <item x="125"/>
        <item x="19"/>
        <item x="23"/>
        <item x="28"/>
        <item x="124"/>
        <item x="88"/>
        <item x="25"/>
        <item x="24"/>
        <item x="93"/>
        <item x="102"/>
        <item x="22"/>
        <item x="77"/>
        <item x="95"/>
        <item x="29"/>
        <item x="21"/>
        <item x="114"/>
        <item x="91"/>
        <item x="30"/>
        <item x="90"/>
        <item x="31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Importaciones " fld="22" baseField="0" baseItem="0" numFmtId="164"/>
    <dataField name="Exportaciones " fld="23" baseField="0" baseItem="0" numFmtId="164"/>
  </dataFields>
  <formats count="2">
    <format dxfId="23">
      <pivotArea collapsedLevelsAreSubtotals="1" fieldPosition="0">
        <references count="1">
          <reference field="4294967294" count="1">
            <x v="0"/>
          </reference>
        </references>
      </pivotArea>
    </format>
    <format dxfId="22">
      <pivotArea collapsedLevelsAreSubtotals="1" fieldPosition="0">
        <references count="1">
          <reference field="4294967294" count="1">
            <x v="1"/>
          </reference>
        </references>
      </pivotArea>
    </format>
  </formats>
  <chartFormats count="3"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cepto" xr10:uid="{FFADA62E-0FA3-4AC5-9206-27FA702A01CE}" sourceName="concepto">
  <pivotTables>
    <pivotTable tabId="2" name="TablaDinámica5"/>
    <pivotTable tabId="2" name="TablaDinámica1"/>
    <pivotTable tabId="2" name="TablaDinámica6"/>
    <pivotTable tabId="2" name="TablaDinámica7"/>
    <pivotTable tabId="2" name="TablaDinámica4"/>
    <pivotTable tabId="2" name="TablaDinámica9"/>
    <pivotTable tabId="2" name="TablaDinámica11"/>
    <pivotTable tabId="2" name="TablaDinámica2"/>
    <pivotTable tabId="2" name="TablaDinámica3"/>
    <pivotTable tabId="2" name="TablaDinámica17"/>
  </pivotTables>
  <data>
    <tabular pivotCacheId="89776972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" xr10:uid="{30B59AC0-8D04-4E63-85E4-EBFD11CC4940}" sourceName="MESES">
  <pivotTables>
    <pivotTable tabId="2" name="TablaDinámica2"/>
    <pivotTable tabId="2" name="TablaDinámica6"/>
    <pivotTable tabId="2" name="TablaDinámica4"/>
    <pivotTable tabId="2" name="TablaDinámica7"/>
    <pivotTable tabId="2" name="TablaDinámica9"/>
    <pivotTable tabId="2" name="TablaDinámica8"/>
    <pivotTable tabId="2" name="TablaDinámica3"/>
    <pivotTable tabId="2" name="TablaDinámica17"/>
  </pivotTables>
  <data>
    <tabular pivotCacheId="897769725">
      <items count="12">
        <i x="3" s="1"/>
        <i x="4" s="1"/>
        <i x="5" s="1"/>
        <i x="6" s="1"/>
        <i x="7" s="1"/>
        <i x="8" s="1"/>
        <i x="9" s="1"/>
        <i x="10" s="1"/>
        <i x="11" s="1"/>
        <i x="0" s="1"/>
        <i x="1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83BC7664-7062-4749-9A12-BDA0A261BA5B}" sourceName="AÑO">
  <pivotTables>
    <pivotTable tabId="2" name="TablaDinámica1"/>
    <pivotTable tabId="2" name="TablaDinámica6"/>
    <pivotTable tabId="2" name="TablaDinámica7"/>
    <pivotTable tabId="2" name="TablaDinámica4"/>
    <pivotTable tabId="2" name="TablaDinámica9"/>
    <pivotTable tabId="2" name="TablaDinámica2"/>
    <pivotTable tabId="2" name="TablaDinámica8"/>
    <pivotTable tabId="2" name="TablaDinámica3"/>
    <pivotTable tabId="2" name="TablaDinámica17"/>
  </pivotTables>
  <data>
    <tabular pivotCacheId="897769725">
      <items count="1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cepto 1" xr10:uid="{1941D6BB-A26E-4C54-ACCD-924D04863D1D}" cache="SegmentaciónDeDatos_concepto" caption="concepto" columnCount="2" style="SlicerStyleOther1 2" rowHeight="324000"/>
  <slicer name="MESES 1" xr10:uid="{01D5407D-F961-4070-9811-ABE34C47DE37}" cache="SegmentaciónDeDatos_MESES" caption="MESES" columnCount="2" style="SlicerStyleOther1" rowHeight="257175"/>
  <slicer name="AÑO 1" xr10:uid="{C5176414-4572-4F6C-A310-5E5A09409646}" cache="SegmentaciónDeDatos_AÑO" caption="AÑO" columnCount="2" style="SlicerStyleOther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3F8359-3239-4B7B-A806-677B1079EDA4}" name="Tabla1" displayName="Tabla1" ref="A2:V344" totalsRowShown="0" headerRowDxfId="20" dataDxfId="19" headerRowCellStyle="Millares" dataCellStyle="Millares">
  <autoFilter ref="A2:V344" xr:uid="{2C3F8359-3239-4B7B-A806-677B1079EDA4}"/>
  <tableColumns count="22">
    <tableColumn id="1" xr3:uid="{D003B16B-7B50-4D03-AC92-1FF064590BE9}" name="AÑO"/>
    <tableColumn id="2" xr3:uid="{CC6B1645-3773-48C2-BEA5-25EEBBE83807}" name="mes"/>
    <tableColumn id="23" xr3:uid="{B35BB50B-215A-4CA7-8084-BA1965D0BBD4}" name="MESES" dataDxfId="18"/>
    <tableColumn id="3" xr3:uid="{026F33C0-03FD-4F84-930D-B982F069A1CC}" name="concepto"/>
    <tableColumn id="4" xr3:uid="{0FB1688B-266E-41DB-BBCF-83D75C6214A7}" name="oferta_total" dataDxfId="17" dataCellStyle="Millares"/>
    <tableColumn id="5" xr3:uid="{CC99C690-B302-4F8A-8C09-18B0EAC76CBB}" name="inventario_inicial" dataDxfId="16" dataCellStyle="Millares"/>
    <tableColumn id="6" xr3:uid="{139898B2-3873-489D-87AF-C42223D715AB}" name="produccion" dataDxfId="15" dataCellStyle="Millares"/>
    <tableColumn id="7" xr3:uid="{C12F2B5C-04EC-4819-951C-59CFC9CA8B00}" name="importaciones_totales" dataDxfId="14" dataCellStyle="Millares"/>
    <tableColumn id="8" xr3:uid="{3AA84C32-84D6-4C8D-8EA2-C96686C16A67}" name="demanda_total" dataDxfId="13" dataCellStyle="Millares"/>
    <tableColumn id="9" xr3:uid="{CFDE2D4A-FB42-4FE2-BD10-C9F3E3EE2B72}" name="exportaciones_totales" dataDxfId="12" dataCellStyle="Millares"/>
    <tableColumn id="10" xr3:uid="{34E7B1F7-10BE-4B64-AA8F-36EFD0060928}" name="consumo_nacional_aparente" dataDxfId="11" dataCellStyle="Millares"/>
    <tableColumn id="11" xr3:uid="{7900530A-DC1A-46B3-84F7-84AADD8DF0DE}" name="inventario_final" dataDxfId="10" dataCellStyle="Millares"/>
    <tableColumn id="12" xr3:uid="{B15F4EE8-FA18-410D-A7CF-A1AA1DA1FA8A}" name="importaciones_fuera_arancel" dataDxfId="9" dataCellStyle="Millares"/>
    <tableColumn id="13" xr3:uid="{454F9A16-DA9D-4D51-9136-2CDC7068AF76}" name="importaciones_amparo_arancel" dataDxfId="8" dataCellStyle="Millares"/>
    <tableColumn id="14" xr3:uid="{E4F993AA-FCE9-4CC0-BE4E-3CB6951F4E43}" name="ingenios" dataDxfId="7" dataCellStyle="Millares"/>
    <tableColumn id="15" xr3:uid="{A52F782F-ABC0-42BA-B086-53120A97B921}" name="estados_unidos" dataDxfId="6" dataCellStyle="Millares"/>
    <tableColumn id="16" xr3:uid="{A7B3462E-6C2C-4D84-AFFE-BEE6DF5A1A49}" name="resto_mundo" dataDxfId="5" dataCellStyle="Millares"/>
    <tableColumn id="17" xr3:uid="{3CF12DA9-56DD-4C0E-BCE1-08BEA068E89E}" name="ventas_immex" dataDxfId="4" dataCellStyle="Millares"/>
    <tableColumn id="18" xr3:uid="{FC80ECCA-03D6-4B07-ACF2-D7DEE7C1D2F7}" name="otras_empresas" dataDxfId="3" dataCellStyle="Millares"/>
    <tableColumn id="19" xr3:uid="{736EA6BE-E685-40EB-940B-88343E32161C}" name="estados_unidos_otras_empresas" dataDxfId="2" dataCellStyle="Millares"/>
    <tableColumn id="20" xr3:uid="{BF299ABE-065F-4099-A7F1-683295A04FF4}" name="resto_mundo_otras_empresas" dataDxfId="1" dataCellStyle="Millares"/>
    <tableColumn id="21" xr3:uid="{EDDE36F3-6240-459E-996D-DEFD2316CFAA}" name="ventas_domesticas_ingenios" dataDxfId="0" dataCellStyle="Millar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81B0-F723-4969-BBD2-C4BFAED0CC6B}">
  <dimension ref="A1"/>
  <sheetViews>
    <sheetView showGridLines="0" showRowColHeaders="0" tabSelected="1" zoomScale="70" zoomScaleNormal="70" workbookViewId="0">
      <selection activeCell="P48" sqref="P48"/>
    </sheetView>
  </sheetViews>
  <sheetFormatPr baseColWidth="10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A277-798E-425F-8B48-A61083CFFCFB}">
  <dimension ref="A2:J50"/>
  <sheetViews>
    <sheetView zoomScaleNormal="100" workbookViewId="0">
      <selection activeCell="E5" sqref="E5"/>
    </sheetView>
  </sheetViews>
  <sheetFormatPr baseColWidth="10" defaultRowHeight="15" x14ac:dyDescent="0.25"/>
  <cols>
    <col min="1" max="1" width="17.85546875" bestFit="1" customWidth="1"/>
    <col min="2" max="3" width="35.28515625" bestFit="1" customWidth="1"/>
    <col min="4" max="4" width="14.28515625" bestFit="1" customWidth="1"/>
    <col min="5" max="5" width="22.7109375" bestFit="1" customWidth="1"/>
    <col min="6" max="6" width="35.28515625" bestFit="1" customWidth="1"/>
    <col min="7" max="7" width="11.7109375" bestFit="1" customWidth="1"/>
    <col min="8" max="8" width="10.5703125" bestFit="1" customWidth="1"/>
    <col min="9" max="9" width="28.42578125" bestFit="1" customWidth="1"/>
    <col min="10" max="10" width="17.85546875" bestFit="1" customWidth="1"/>
    <col min="11" max="49" width="35.28515625" bestFit="1" customWidth="1"/>
    <col min="50" max="50" width="24.42578125" bestFit="1" customWidth="1"/>
    <col min="51" max="51" width="34.5703125" bestFit="1" customWidth="1"/>
    <col min="52" max="52" width="40.28515625" bestFit="1" customWidth="1"/>
    <col min="53" max="53" width="10.5703125" bestFit="1" customWidth="1"/>
    <col min="54" max="171" width="9" bestFit="1" customWidth="1"/>
    <col min="172" max="208" width="10.5703125" bestFit="1" customWidth="1"/>
    <col min="209" max="209" width="14" bestFit="1" customWidth="1"/>
  </cols>
  <sheetData>
    <row r="2" spans="1:10" x14ac:dyDescent="0.25">
      <c r="A2" s="2" t="s">
        <v>20</v>
      </c>
      <c r="F2" s="2" t="s">
        <v>20</v>
      </c>
      <c r="G2" t="s">
        <v>38</v>
      </c>
      <c r="H2" t="s">
        <v>41</v>
      </c>
      <c r="I2" t="s">
        <v>42</v>
      </c>
      <c r="J2" s="2" t="s">
        <v>20</v>
      </c>
    </row>
    <row r="3" spans="1:10" x14ac:dyDescent="0.25">
      <c r="A3" s="3">
        <v>2011</v>
      </c>
      <c r="B3" t="str">
        <f>+IF(COUNT(A3:A17)&gt;1,"",A3)</f>
        <v/>
      </c>
      <c r="C3" t="str">
        <f>+UPPER(IF(B3="","Consumo nacional",_xlfn.CONCAT("Consumo nacional  ",B3)))</f>
        <v>CONSUMO NACIONAL</v>
      </c>
      <c r="F3" s="3" t="s">
        <v>46</v>
      </c>
      <c r="G3" t="str">
        <f>+IF(COUNTA(F3:F5)&gt;2,"",F3)</f>
        <v/>
      </c>
      <c r="H3" t="str">
        <f>+IF(G3="","",G3)</f>
        <v/>
      </c>
      <c r="I3" t="str">
        <f>UPPER(IF(H3="","Toneladas",_xlfn.CONCAT("Toneladas · ",H3)))</f>
        <v>TONELADAS</v>
      </c>
      <c r="J3" s="3" t="s">
        <v>25</v>
      </c>
    </row>
    <row r="4" spans="1:10" x14ac:dyDescent="0.25">
      <c r="A4" s="3">
        <v>2012</v>
      </c>
      <c r="C4" t="str">
        <f>+SUBSTITUTE(C3,"CONSUMO NACIONAL","PRODUCCION")</f>
        <v>PRODUCCION</v>
      </c>
      <c r="F4" s="3" t="s">
        <v>47</v>
      </c>
      <c r="I4" t="str">
        <f>+SUBSTITUTE(I3,"TONELADAS","Balance comercial acumulado")</f>
        <v>Balance comercial acumulado</v>
      </c>
      <c r="J4" s="3" t="s">
        <v>26</v>
      </c>
    </row>
    <row r="5" spans="1:10" x14ac:dyDescent="0.25">
      <c r="A5" s="3">
        <v>2013</v>
      </c>
      <c r="C5" t="str">
        <f>+SUBSTITUTE(C4,"PRODUCCION","EXPORTACIONES")</f>
        <v>EXPORTACIONES</v>
      </c>
      <c r="F5" s="3" t="s">
        <v>21</v>
      </c>
      <c r="J5" s="3" t="s">
        <v>27</v>
      </c>
    </row>
    <row r="6" spans="1:10" x14ac:dyDescent="0.25">
      <c r="A6" s="3">
        <v>2014</v>
      </c>
      <c r="C6" t="str">
        <f>+SUBSTITUTE(C5,"EXPORTACIONES","DEMANDA")</f>
        <v>DEMANDA</v>
      </c>
      <c r="J6" s="3" t="s">
        <v>28</v>
      </c>
    </row>
    <row r="7" spans="1:10" x14ac:dyDescent="0.25">
      <c r="A7" s="3">
        <v>2015</v>
      </c>
      <c r="J7" s="3" t="s">
        <v>29</v>
      </c>
    </row>
    <row r="8" spans="1:10" x14ac:dyDescent="0.25">
      <c r="A8" s="3">
        <v>2016</v>
      </c>
      <c r="F8" s="2" t="s">
        <v>35</v>
      </c>
      <c r="G8" s="2" t="s">
        <v>1</v>
      </c>
      <c r="J8" s="3" t="s">
        <v>30</v>
      </c>
    </row>
    <row r="9" spans="1:10" x14ac:dyDescent="0.25">
      <c r="A9" s="3">
        <v>2017</v>
      </c>
      <c r="F9" s="2" t="s">
        <v>39</v>
      </c>
      <c r="G9" t="s">
        <v>46</v>
      </c>
      <c r="H9" t="s">
        <v>47</v>
      </c>
      <c r="J9" s="3" t="s">
        <v>31</v>
      </c>
    </row>
    <row r="10" spans="1:10" x14ac:dyDescent="0.25">
      <c r="A10" s="3">
        <v>2018</v>
      </c>
      <c r="F10">
        <v>2011</v>
      </c>
      <c r="G10" s="4">
        <v>929596</v>
      </c>
      <c r="H10" s="4">
        <v>407949</v>
      </c>
      <c r="J10" s="3" t="s">
        <v>32</v>
      </c>
    </row>
    <row r="11" spans="1:10" x14ac:dyDescent="0.25">
      <c r="A11" s="3">
        <v>2019</v>
      </c>
      <c r="F11">
        <v>2012</v>
      </c>
      <c r="G11" s="4">
        <v>4127447</v>
      </c>
      <c r="H11" s="4">
        <v>1737838</v>
      </c>
      <c r="J11" s="3" t="s">
        <v>33</v>
      </c>
    </row>
    <row r="12" spans="1:10" x14ac:dyDescent="0.25">
      <c r="A12" s="3">
        <v>2020</v>
      </c>
      <c r="F12">
        <v>2013</v>
      </c>
      <c r="G12" s="4">
        <v>4222086</v>
      </c>
      <c r="H12" s="4">
        <v>1502586</v>
      </c>
      <c r="J12" s="3" t="s">
        <v>22</v>
      </c>
    </row>
    <row r="13" spans="1:10" x14ac:dyDescent="0.25">
      <c r="A13" s="3">
        <v>2021</v>
      </c>
      <c r="F13">
        <v>2014</v>
      </c>
      <c r="G13" s="4">
        <v>4294677</v>
      </c>
      <c r="H13" s="4">
        <v>1371201</v>
      </c>
      <c r="J13" s="3" t="s">
        <v>23</v>
      </c>
    </row>
    <row r="14" spans="1:10" x14ac:dyDescent="0.25">
      <c r="A14" s="3">
        <v>2022</v>
      </c>
      <c r="F14">
        <v>2015</v>
      </c>
      <c r="G14" s="4">
        <v>4417335</v>
      </c>
      <c r="H14" s="4">
        <v>1447130</v>
      </c>
      <c r="J14" s="3" t="s">
        <v>24</v>
      </c>
    </row>
    <row r="15" spans="1:10" x14ac:dyDescent="0.25">
      <c r="A15" s="3">
        <v>2023</v>
      </c>
      <c r="F15">
        <v>2016</v>
      </c>
      <c r="G15" s="4">
        <v>4523405.9737999998</v>
      </c>
      <c r="H15" s="4">
        <v>1469601.4983999999</v>
      </c>
      <c r="J15" s="3" t="s">
        <v>21</v>
      </c>
    </row>
    <row r="16" spans="1:10" x14ac:dyDescent="0.25">
      <c r="A16" s="3">
        <v>2024</v>
      </c>
      <c r="F16">
        <v>2017</v>
      </c>
      <c r="G16" s="4">
        <v>4434274.7011000002</v>
      </c>
      <c r="H16" s="4">
        <v>1568610.885</v>
      </c>
    </row>
    <row r="17" spans="1:9" x14ac:dyDescent="0.25">
      <c r="A17" s="3">
        <v>2025</v>
      </c>
      <c r="C17" s="4"/>
      <c r="F17">
        <v>2018</v>
      </c>
      <c r="G17" s="4">
        <v>4268832.4348999998</v>
      </c>
      <c r="H17" s="4">
        <v>1553594.6120999998</v>
      </c>
    </row>
    <row r="18" spans="1:9" x14ac:dyDescent="0.25">
      <c r="A18" s="3" t="s">
        <v>21</v>
      </c>
      <c r="C18" s="4"/>
      <c r="F18">
        <v>2019</v>
      </c>
      <c r="G18" s="4">
        <v>4077712.4590000003</v>
      </c>
      <c r="H18" s="4">
        <v>1519487.4017</v>
      </c>
    </row>
    <row r="19" spans="1:9" x14ac:dyDescent="0.25">
      <c r="F19">
        <v>2020</v>
      </c>
      <c r="G19" s="4">
        <v>4042146.4964999999</v>
      </c>
      <c r="H19" s="4">
        <v>1375694.4459000002</v>
      </c>
    </row>
    <row r="20" spans="1:9" x14ac:dyDescent="0.25">
      <c r="A20" t="s">
        <v>36</v>
      </c>
      <c r="B20" t="s">
        <v>37</v>
      </c>
      <c r="C20" t="s">
        <v>35</v>
      </c>
      <c r="F20">
        <v>2021</v>
      </c>
      <c r="G20" s="4">
        <v>4022361.9716999996</v>
      </c>
      <c r="H20" s="4">
        <v>1307587.9110399997</v>
      </c>
    </row>
    <row r="21" spans="1:9" x14ac:dyDescent="0.25">
      <c r="A21" s="4">
        <v>88248525.417440325</v>
      </c>
      <c r="B21" s="4">
        <v>22605632.165044781</v>
      </c>
      <c r="C21" s="4">
        <v>80855165.175119936</v>
      </c>
      <c r="F21">
        <v>2022</v>
      </c>
      <c r="G21" s="4">
        <v>4010323.0740000005</v>
      </c>
      <c r="H21" s="4">
        <v>1314552.3675500001</v>
      </c>
    </row>
    <row r="22" spans="1:9" x14ac:dyDescent="0.25">
      <c r="A22" s="1">
        <f>+GETPIVOTDATA("produccion",$A$20)</f>
        <v>88248525.417440325</v>
      </c>
      <c r="B22" s="1">
        <f>+GETPIVOTDATA("exportaciones_totales",$B$20)</f>
        <v>22605632.165044781</v>
      </c>
      <c r="C22" s="1">
        <f>+GETPIVOTDATA("consumo_nacional_aparente",$C$20)</f>
        <v>80855165.175119936</v>
      </c>
      <c r="F22">
        <v>2023</v>
      </c>
      <c r="G22" s="4">
        <v>4215204.0566000007</v>
      </c>
      <c r="H22" s="4">
        <v>1384350.5700300001</v>
      </c>
    </row>
    <row r="23" spans="1:9" x14ac:dyDescent="0.25">
      <c r="A23" t="str">
        <f>+IF(A22&gt;=1000000,TRUNC(A22/1000000,3)&amp;" M",TEXT(A22/1000,"0.00")&amp;" K")</f>
        <v>88.248 M</v>
      </c>
      <c r="B23" t="str">
        <f>+IF(B22&gt;=1000000,TRUNC(B22/1000000,3)&amp;" M",TEXT(B22/1000,"0.00")&amp;" K")</f>
        <v>22.605 M</v>
      </c>
      <c r="C23" t="str">
        <f>+IF(C22&gt;=1000000,TRUNC(C22/1000000,3)&amp;" M",TEXT(C22/1000,"0.00")&amp;" K")</f>
        <v>80.855 M</v>
      </c>
      <c r="F23">
        <v>2024</v>
      </c>
      <c r="G23" s="4">
        <v>4161019.4262000006</v>
      </c>
      <c r="H23" s="4">
        <v>1660124.5186000001</v>
      </c>
    </row>
    <row r="24" spans="1:9" x14ac:dyDescent="0.25">
      <c r="F24">
        <v>2025</v>
      </c>
      <c r="G24" s="4">
        <v>3865916.6798</v>
      </c>
      <c r="H24" s="4">
        <v>1622518.6912000002</v>
      </c>
    </row>
    <row r="26" spans="1:9" x14ac:dyDescent="0.25">
      <c r="A26" s="2" t="s">
        <v>34</v>
      </c>
      <c r="B26" t="s">
        <v>40</v>
      </c>
      <c r="C26" t="s">
        <v>45</v>
      </c>
      <c r="D26" t="s">
        <v>44</v>
      </c>
    </row>
    <row r="27" spans="1:9" x14ac:dyDescent="0.25">
      <c r="A27" t="s">
        <v>25</v>
      </c>
      <c r="B27" s="4">
        <v>14533144.155830001</v>
      </c>
      <c r="C27" s="4">
        <v>7318704.0528000025</v>
      </c>
      <c r="D27" s="4">
        <v>1701042.2366415004</v>
      </c>
    </row>
    <row r="28" spans="1:9" x14ac:dyDescent="0.25">
      <c r="A28" t="s">
        <v>26</v>
      </c>
      <c r="B28" s="4">
        <v>14849529.728939999</v>
      </c>
      <c r="C28" s="4">
        <v>6271455.3549199998</v>
      </c>
      <c r="D28" s="4">
        <v>2281366.2248594994</v>
      </c>
      <c r="F28" s="2" t="s">
        <v>39</v>
      </c>
      <c r="G28" t="s">
        <v>40</v>
      </c>
      <c r="H28" t="s">
        <v>48</v>
      </c>
      <c r="I28" t="s">
        <v>43</v>
      </c>
    </row>
    <row r="29" spans="1:9" x14ac:dyDescent="0.25">
      <c r="A29" t="s">
        <v>27</v>
      </c>
      <c r="B29" s="4">
        <v>16668596.441259999</v>
      </c>
      <c r="C29" s="4">
        <v>7158166.1741999993</v>
      </c>
      <c r="D29" s="4">
        <v>2511537.5688807997</v>
      </c>
      <c r="F29">
        <v>2011</v>
      </c>
      <c r="G29" s="4">
        <v>868533</v>
      </c>
      <c r="H29" s="4">
        <v>185380</v>
      </c>
      <c r="I29" s="4">
        <v>1337545</v>
      </c>
    </row>
    <row r="30" spans="1:9" x14ac:dyDescent="0.25">
      <c r="A30" t="s">
        <v>28</v>
      </c>
      <c r="B30" s="4">
        <v>14490282.162199995</v>
      </c>
      <c r="C30" s="4">
        <v>7398828.2595999995</v>
      </c>
      <c r="D30" s="4">
        <v>2742788.6569701005</v>
      </c>
      <c r="F30">
        <v>2012</v>
      </c>
      <c r="G30" s="4">
        <v>6002336</v>
      </c>
      <c r="H30" s="4">
        <v>1038803</v>
      </c>
      <c r="I30" s="4">
        <v>5865285</v>
      </c>
    </row>
    <row r="31" spans="1:9" x14ac:dyDescent="0.25">
      <c r="A31" t="s">
        <v>29</v>
      </c>
      <c r="B31" s="4">
        <v>8797116.4737400003</v>
      </c>
      <c r="C31" s="4">
        <v>7029282.7589000007</v>
      </c>
      <c r="D31" s="4">
        <v>2486710.5762900002</v>
      </c>
      <c r="F31">
        <v>2013</v>
      </c>
      <c r="G31" s="4">
        <v>7074300</v>
      </c>
      <c r="H31" s="4">
        <v>2729976</v>
      </c>
      <c r="I31" s="4">
        <v>5724672</v>
      </c>
    </row>
    <row r="32" spans="1:9" x14ac:dyDescent="0.25">
      <c r="A32" t="s">
        <v>30</v>
      </c>
      <c r="B32" s="4">
        <v>2190613.9792699995</v>
      </c>
      <c r="C32" s="4">
        <v>6833097.2138999989</v>
      </c>
      <c r="D32" s="4">
        <v>1864768.2839305003</v>
      </c>
      <c r="F32">
        <v>2014</v>
      </c>
      <c r="G32" s="4">
        <v>6737664</v>
      </c>
      <c r="H32" s="4">
        <v>1941654</v>
      </c>
      <c r="I32" s="4">
        <v>5665878</v>
      </c>
    </row>
    <row r="33" spans="1:9" x14ac:dyDescent="0.25">
      <c r="A33" t="s">
        <v>31</v>
      </c>
      <c r="B33" s="4">
        <v>688349.93666000024</v>
      </c>
      <c r="C33" s="4">
        <v>6358957.3916999996</v>
      </c>
      <c r="D33" s="4">
        <v>2004433.3814152998</v>
      </c>
      <c r="F33">
        <v>2015</v>
      </c>
      <c r="G33" s="4">
        <v>6374780</v>
      </c>
      <c r="H33" s="4">
        <v>1614577</v>
      </c>
      <c r="I33" s="4">
        <v>5864465</v>
      </c>
    </row>
    <row r="34" spans="1:9" x14ac:dyDescent="0.25">
      <c r="A34" t="s">
        <v>32</v>
      </c>
      <c r="B34" s="4">
        <v>608161.1817800001</v>
      </c>
      <c r="C34" s="4">
        <v>6469723.1721999999</v>
      </c>
      <c r="D34" s="4">
        <v>1878838.9923357002</v>
      </c>
      <c r="F34">
        <v>2016</v>
      </c>
      <c r="G34" s="4">
        <v>6596897.7201100001</v>
      </c>
      <c r="H34" s="4">
        <v>1358873.0962679998</v>
      </c>
      <c r="I34" s="4">
        <v>5993007.4721999997</v>
      </c>
    </row>
    <row r="35" spans="1:9" x14ac:dyDescent="0.25">
      <c r="A35" t="s">
        <v>33</v>
      </c>
      <c r="B35" s="4">
        <v>605314.19654999999</v>
      </c>
      <c r="C35" s="4">
        <v>5577451.5779000008</v>
      </c>
      <c r="D35" s="4">
        <v>1881084.0286544999</v>
      </c>
      <c r="F35">
        <v>2017</v>
      </c>
      <c r="G35" s="4">
        <v>6578383.8800099995</v>
      </c>
      <c r="H35" s="4">
        <v>1464039.9849841001</v>
      </c>
      <c r="I35" s="4">
        <v>6002885.5861000009</v>
      </c>
    </row>
    <row r="36" spans="1:9" x14ac:dyDescent="0.25">
      <c r="A36" t="s">
        <v>22</v>
      </c>
      <c r="B36" s="4">
        <v>659348.42774000019</v>
      </c>
      <c r="C36" s="4">
        <v>6803136.7064000005</v>
      </c>
      <c r="D36" s="4">
        <v>971961.4703114999</v>
      </c>
      <c r="F36">
        <v>2018</v>
      </c>
      <c r="G36" s="4">
        <v>6451219.0484800022</v>
      </c>
      <c r="H36" s="4">
        <v>1674175.6171231002</v>
      </c>
      <c r="I36" s="4">
        <v>5822427.0469999984</v>
      </c>
    </row>
    <row r="37" spans="1:9" x14ac:dyDescent="0.25">
      <c r="A37" t="s">
        <v>23</v>
      </c>
      <c r="B37" s="4">
        <v>2825628.2866299991</v>
      </c>
      <c r="C37" s="4">
        <v>6393056.96447</v>
      </c>
      <c r="D37" s="4">
        <v>1063453.1049244001</v>
      </c>
      <c r="F37">
        <v>2019</v>
      </c>
      <c r="G37" s="4">
        <v>6711357.0988400001</v>
      </c>
      <c r="H37" s="4">
        <v>2245060.1175012998</v>
      </c>
      <c r="I37" s="4">
        <v>5597199.8606999991</v>
      </c>
    </row>
    <row r="38" spans="1:9" x14ac:dyDescent="0.25">
      <c r="A38" t="s">
        <v>24</v>
      </c>
      <c r="B38" s="4">
        <v>11332440.446840001</v>
      </c>
      <c r="C38" s="4">
        <v>7243305.5481299981</v>
      </c>
      <c r="D38" s="4">
        <v>1217647.639831</v>
      </c>
      <c r="F38">
        <v>2020</v>
      </c>
      <c r="G38" s="4">
        <v>6163600.2623999966</v>
      </c>
      <c r="H38" s="4">
        <v>1526206.7362728005</v>
      </c>
      <c r="I38" s="4">
        <v>5417840.9423999991</v>
      </c>
    </row>
    <row r="39" spans="1:9" x14ac:dyDescent="0.25">
      <c r="F39">
        <v>2021</v>
      </c>
      <c r="G39" s="4">
        <v>6243574.9897599984</v>
      </c>
      <c r="H39" s="4">
        <v>1650961.6170539998</v>
      </c>
      <c r="I39" s="4">
        <v>5329949.8827400003</v>
      </c>
    </row>
    <row r="40" spans="1:9" x14ac:dyDescent="0.25">
      <c r="F40">
        <v>2022</v>
      </c>
      <c r="G40" s="4">
        <v>6535265.4539599977</v>
      </c>
      <c r="H40" s="4">
        <v>1961659.6758474</v>
      </c>
      <c r="I40" s="4">
        <v>5324875.4415499996</v>
      </c>
    </row>
    <row r="41" spans="1:9" x14ac:dyDescent="0.25">
      <c r="A41" s="2" t="s">
        <v>50</v>
      </c>
      <c r="F41">
        <v>2023</v>
      </c>
      <c r="G41" s="4">
        <v>5509464.1529599987</v>
      </c>
      <c r="H41" s="4">
        <v>1347632.3481828005</v>
      </c>
      <c r="I41" s="4">
        <v>5599554.6266300017</v>
      </c>
    </row>
    <row r="42" spans="1:9" x14ac:dyDescent="0.25">
      <c r="A42" s="3" t="s">
        <v>51</v>
      </c>
      <c r="B42" s="5">
        <v>0.41283675184624569</v>
      </c>
      <c r="F42">
        <v>2024</v>
      </c>
      <c r="G42" s="4">
        <v>5193912.3149599973</v>
      </c>
      <c r="H42" s="4">
        <v>762001.9902606</v>
      </c>
      <c r="I42" s="4">
        <v>5821143.9447999997</v>
      </c>
    </row>
    <row r="43" spans="1:9" x14ac:dyDescent="0.25">
      <c r="A43" s="3" t="s">
        <v>44</v>
      </c>
      <c r="B43" s="5">
        <v>0.5871632481537542</v>
      </c>
      <c r="F43">
        <v>2025</v>
      </c>
      <c r="G43" s="4">
        <v>5207237.4959599981</v>
      </c>
      <c r="H43" s="4">
        <v>1104630.9815506998</v>
      </c>
      <c r="I43" s="4">
        <v>5488435.3710000003</v>
      </c>
    </row>
    <row r="45" spans="1:9" x14ac:dyDescent="0.25">
      <c r="E45" t="s">
        <v>49</v>
      </c>
    </row>
    <row r="46" spans="1:9" x14ac:dyDescent="0.25">
      <c r="E46" s="4">
        <v>104184084.34065999</v>
      </c>
    </row>
    <row r="47" spans="1:9" x14ac:dyDescent="0.25">
      <c r="E47" s="7">
        <f>+GETPIVOTDATA("demanda_total",$E$45)</f>
        <v>104184084.34065999</v>
      </c>
    </row>
    <row r="48" spans="1:9" x14ac:dyDescent="0.25">
      <c r="B48" s="1"/>
    </row>
    <row r="49" spans="2:7" x14ac:dyDescent="0.25">
      <c r="F49" s="1"/>
      <c r="G49" s="4"/>
    </row>
    <row r="50" spans="2:7" x14ac:dyDescent="0.25">
      <c r="B5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6582-6352-4981-903E-F4C14A9659AA}">
  <dimension ref="A2:V344"/>
  <sheetViews>
    <sheetView zoomScale="85" zoomScaleNormal="85" workbookViewId="0">
      <selection activeCell="C3" sqref="C3"/>
    </sheetView>
  </sheetViews>
  <sheetFormatPr baseColWidth="10" defaultRowHeight="15" x14ac:dyDescent="0.25"/>
  <cols>
    <col min="1" max="1" width="6.42578125" customWidth="1"/>
    <col min="2" max="2" width="7" customWidth="1"/>
    <col min="3" max="3" width="12.42578125" bestFit="1" customWidth="1"/>
    <col min="4" max="4" width="20.5703125" bestFit="1" customWidth="1"/>
    <col min="5" max="5" width="15" style="1" customWidth="1"/>
    <col min="6" max="6" width="20.140625" style="1" bestFit="1" customWidth="1"/>
    <col min="7" max="7" width="14.85546875" style="1" bestFit="1" customWidth="1"/>
    <col min="8" max="8" width="24.7109375" style="1" bestFit="1" customWidth="1"/>
    <col min="9" max="9" width="18" style="1" bestFit="1" customWidth="1"/>
    <col min="10" max="10" width="24.5703125" style="1" customWidth="1"/>
    <col min="11" max="11" width="30.140625" style="1" customWidth="1"/>
    <col min="12" max="12" width="18.5703125" style="1" customWidth="1"/>
    <col min="13" max="13" width="30.5703125" style="1" customWidth="1"/>
    <col min="14" max="14" width="32.5703125" style="1" customWidth="1"/>
    <col min="15" max="15" width="12.28515625" style="1" customWidth="1"/>
    <col min="16" max="16" width="18.7109375" style="1" customWidth="1"/>
    <col min="17" max="17" width="16.42578125" style="1" customWidth="1"/>
    <col min="18" max="18" width="17.5703125" style="1" customWidth="1"/>
    <col min="19" max="19" width="18.85546875" style="1" customWidth="1"/>
    <col min="20" max="20" width="33.85546875" style="1" customWidth="1"/>
    <col min="21" max="21" width="31.5703125" style="1" customWidth="1"/>
    <col min="22" max="22" width="30.42578125" style="1" customWidth="1"/>
  </cols>
  <sheetData>
    <row r="2" spans="1:22" x14ac:dyDescent="0.25">
      <c r="A2" t="s">
        <v>39</v>
      </c>
      <c r="B2" t="s">
        <v>0</v>
      </c>
      <c r="C2" t="s">
        <v>34</v>
      </c>
      <c r="D2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</row>
    <row r="3" spans="1:22" x14ac:dyDescent="0.25">
      <c r="A3">
        <v>2011</v>
      </c>
      <c r="B3">
        <v>10</v>
      </c>
      <c r="C3" t="s">
        <v>22</v>
      </c>
      <c r="D3" t="s">
        <v>46</v>
      </c>
      <c r="E3" s="1">
        <v>778599</v>
      </c>
      <c r="F3" s="1">
        <v>759906</v>
      </c>
      <c r="G3" s="1">
        <v>0</v>
      </c>
      <c r="H3" s="1">
        <v>18693</v>
      </c>
      <c r="I3" s="1">
        <v>347299</v>
      </c>
      <c r="J3" s="1">
        <v>75702</v>
      </c>
      <c r="K3" s="1">
        <v>271597</v>
      </c>
      <c r="L3" s="1">
        <v>431301</v>
      </c>
      <c r="M3" s="1">
        <v>2278</v>
      </c>
      <c r="N3" s="1">
        <v>16416</v>
      </c>
      <c r="O3" s="1">
        <v>59796</v>
      </c>
      <c r="P3" s="1">
        <v>47391</v>
      </c>
      <c r="Q3" s="1">
        <v>0</v>
      </c>
      <c r="R3" s="1">
        <v>12405</v>
      </c>
      <c r="S3" s="1">
        <v>15905</v>
      </c>
      <c r="T3" s="1">
        <v>15897</v>
      </c>
      <c r="U3" s="1">
        <v>8</v>
      </c>
      <c r="V3" s="1">
        <v>252903</v>
      </c>
    </row>
    <row r="4" spans="1:22" x14ac:dyDescent="0.25">
      <c r="A4">
        <v>2011</v>
      </c>
      <c r="B4">
        <v>11</v>
      </c>
      <c r="C4" t="s">
        <v>23</v>
      </c>
      <c r="D4" t="s">
        <v>46</v>
      </c>
      <c r="E4" s="1">
        <v>588662</v>
      </c>
      <c r="F4" s="1">
        <v>431301</v>
      </c>
      <c r="G4" s="1">
        <v>116495</v>
      </c>
      <c r="H4" s="1">
        <v>40867</v>
      </c>
      <c r="I4" s="1">
        <v>351401</v>
      </c>
      <c r="J4" s="1">
        <v>53789</v>
      </c>
      <c r="K4" s="1">
        <v>297612</v>
      </c>
      <c r="L4" s="1">
        <v>237260</v>
      </c>
      <c r="M4" s="1">
        <v>1947</v>
      </c>
      <c r="N4" s="1">
        <v>38920</v>
      </c>
      <c r="O4" s="1">
        <v>42562</v>
      </c>
      <c r="P4" s="1">
        <v>36997</v>
      </c>
      <c r="Q4" s="1">
        <v>0</v>
      </c>
      <c r="R4" s="1">
        <v>5565</v>
      </c>
      <c r="S4" s="1">
        <v>11228</v>
      </c>
      <c r="T4" s="1">
        <v>11197</v>
      </c>
      <c r="U4" s="1">
        <v>31</v>
      </c>
      <c r="V4" s="1">
        <v>256746</v>
      </c>
    </row>
    <row r="5" spans="1:22" x14ac:dyDescent="0.25">
      <c r="A5">
        <v>2011</v>
      </c>
      <c r="B5">
        <v>12</v>
      </c>
      <c r="C5" t="s">
        <v>24</v>
      </c>
      <c r="D5" t="s">
        <v>46</v>
      </c>
      <c r="E5" s="1">
        <v>911648</v>
      </c>
      <c r="F5" s="1">
        <v>237260</v>
      </c>
      <c r="G5" s="1">
        <v>635149</v>
      </c>
      <c r="H5" s="1">
        <v>39238</v>
      </c>
      <c r="I5" s="1">
        <v>410474</v>
      </c>
      <c r="J5" s="1">
        <v>50087</v>
      </c>
      <c r="K5" s="1">
        <v>360387</v>
      </c>
      <c r="L5" s="1">
        <v>501174</v>
      </c>
      <c r="M5" s="1">
        <v>5078</v>
      </c>
      <c r="N5" s="1">
        <v>34160</v>
      </c>
      <c r="O5" s="1">
        <v>38464</v>
      </c>
      <c r="P5" s="1">
        <v>34242</v>
      </c>
      <c r="Q5" s="1">
        <v>0</v>
      </c>
      <c r="R5" s="1">
        <v>4222</v>
      </c>
      <c r="S5" s="1">
        <v>11623</v>
      </c>
      <c r="T5" s="1">
        <v>11615</v>
      </c>
      <c r="U5" s="1">
        <v>8</v>
      </c>
      <c r="V5" s="1">
        <v>321149</v>
      </c>
    </row>
    <row r="6" spans="1:22" x14ac:dyDescent="0.25">
      <c r="A6">
        <v>2012</v>
      </c>
      <c r="B6">
        <v>1</v>
      </c>
      <c r="C6" t="s">
        <v>25</v>
      </c>
      <c r="D6" t="s">
        <v>46</v>
      </c>
      <c r="E6" s="1">
        <v>1565519</v>
      </c>
      <c r="F6" s="1">
        <v>501174</v>
      </c>
      <c r="G6" s="1">
        <v>940295</v>
      </c>
      <c r="H6" s="1">
        <v>124049</v>
      </c>
      <c r="I6" s="1">
        <v>524688</v>
      </c>
      <c r="J6" s="1">
        <v>62285</v>
      </c>
      <c r="K6" s="1">
        <v>462403</v>
      </c>
      <c r="L6" s="1">
        <v>1040831</v>
      </c>
      <c r="M6" s="1">
        <v>2169</v>
      </c>
      <c r="N6" s="1">
        <v>121880</v>
      </c>
      <c r="O6" s="1">
        <v>49996</v>
      </c>
      <c r="P6" s="1">
        <v>43996</v>
      </c>
      <c r="Q6" s="1">
        <v>0</v>
      </c>
      <c r="R6" s="1">
        <v>6000</v>
      </c>
      <c r="S6" s="1">
        <v>12289</v>
      </c>
      <c r="T6" s="1">
        <v>12287</v>
      </c>
      <c r="U6" s="1">
        <v>2</v>
      </c>
      <c r="V6" s="1">
        <v>338354</v>
      </c>
    </row>
    <row r="7" spans="1:22" x14ac:dyDescent="0.25">
      <c r="A7">
        <v>2012</v>
      </c>
      <c r="B7">
        <v>2</v>
      </c>
      <c r="C7" t="s">
        <v>26</v>
      </c>
      <c r="D7" t="s">
        <v>46</v>
      </c>
      <c r="E7" s="1">
        <v>1909042</v>
      </c>
      <c r="F7" s="1">
        <v>1040831</v>
      </c>
      <c r="G7" s="1">
        <v>866462</v>
      </c>
      <c r="H7" s="1">
        <v>1749</v>
      </c>
      <c r="I7" s="1">
        <v>427001</v>
      </c>
      <c r="J7" s="1">
        <v>103484</v>
      </c>
      <c r="K7" s="1">
        <v>323517</v>
      </c>
      <c r="L7" s="1">
        <v>1482042</v>
      </c>
      <c r="M7" s="1">
        <v>1749</v>
      </c>
      <c r="N7" s="1">
        <v>0</v>
      </c>
      <c r="O7" s="1">
        <v>89122</v>
      </c>
      <c r="P7" s="1">
        <v>77238</v>
      </c>
      <c r="Q7" s="1">
        <v>0</v>
      </c>
      <c r="R7" s="1">
        <v>11884</v>
      </c>
      <c r="S7" s="1">
        <v>14362</v>
      </c>
      <c r="T7" s="1">
        <v>14349</v>
      </c>
      <c r="U7" s="1">
        <v>12</v>
      </c>
      <c r="V7" s="1">
        <v>321768</v>
      </c>
    </row>
    <row r="8" spans="1:22" x14ac:dyDescent="0.25">
      <c r="A8">
        <v>2012</v>
      </c>
      <c r="B8">
        <v>3</v>
      </c>
      <c r="C8" t="s">
        <v>27</v>
      </c>
      <c r="D8" t="s">
        <v>46</v>
      </c>
      <c r="E8" s="1">
        <v>2594066</v>
      </c>
      <c r="F8" s="1">
        <v>1482042</v>
      </c>
      <c r="G8" s="1">
        <v>1109993</v>
      </c>
      <c r="H8" s="1">
        <v>2032</v>
      </c>
      <c r="I8" s="1">
        <v>467370</v>
      </c>
      <c r="J8" s="1">
        <v>102172</v>
      </c>
      <c r="K8" s="1">
        <v>365198</v>
      </c>
      <c r="L8" s="1">
        <v>2126697</v>
      </c>
      <c r="M8" s="1">
        <v>2032</v>
      </c>
      <c r="N8" s="1">
        <v>0</v>
      </c>
      <c r="O8" s="1">
        <v>84150</v>
      </c>
      <c r="P8" s="1">
        <v>77629</v>
      </c>
      <c r="Q8" s="1">
        <v>0</v>
      </c>
      <c r="R8" s="1">
        <v>6520</v>
      </c>
      <c r="S8" s="1">
        <v>18022</v>
      </c>
      <c r="T8" s="1">
        <v>18004</v>
      </c>
      <c r="U8" s="1">
        <v>18</v>
      </c>
      <c r="V8" s="1">
        <v>363166</v>
      </c>
    </row>
    <row r="9" spans="1:22" x14ac:dyDescent="0.25">
      <c r="A9">
        <v>2012</v>
      </c>
      <c r="B9">
        <v>4</v>
      </c>
      <c r="C9" t="s">
        <v>28</v>
      </c>
      <c r="D9" t="s">
        <v>46</v>
      </c>
      <c r="E9" s="1">
        <v>2952512</v>
      </c>
      <c r="F9" s="1">
        <v>2126697</v>
      </c>
      <c r="G9" s="1">
        <v>824176</v>
      </c>
      <c r="H9" s="1">
        <v>1639</v>
      </c>
      <c r="I9" s="1">
        <v>482335</v>
      </c>
      <c r="J9" s="1">
        <v>116765</v>
      </c>
      <c r="K9" s="1">
        <v>365571</v>
      </c>
      <c r="L9" s="1">
        <v>2470176</v>
      </c>
      <c r="M9" s="1">
        <v>1639</v>
      </c>
      <c r="N9" s="1">
        <v>0</v>
      </c>
      <c r="O9" s="1">
        <v>102291</v>
      </c>
      <c r="P9" s="1">
        <v>93716</v>
      </c>
      <c r="Q9" s="1">
        <v>0</v>
      </c>
      <c r="R9" s="1">
        <v>8575</v>
      </c>
      <c r="S9" s="1">
        <v>14474</v>
      </c>
      <c r="T9" s="1">
        <v>14452</v>
      </c>
      <c r="U9" s="1">
        <v>21</v>
      </c>
      <c r="V9" s="1">
        <v>363932</v>
      </c>
    </row>
    <row r="10" spans="1:22" x14ac:dyDescent="0.25">
      <c r="A10">
        <v>2012</v>
      </c>
      <c r="B10">
        <v>5</v>
      </c>
      <c r="C10" t="s">
        <v>29</v>
      </c>
      <c r="D10" t="s">
        <v>46</v>
      </c>
      <c r="E10" s="1">
        <v>2935583</v>
      </c>
      <c r="F10" s="1">
        <v>2470176</v>
      </c>
      <c r="G10" s="1">
        <v>464250</v>
      </c>
      <c r="H10" s="1">
        <v>1157</v>
      </c>
      <c r="I10" s="1">
        <v>418453</v>
      </c>
      <c r="J10" s="1">
        <v>80109</v>
      </c>
      <c r="K10" s="1">
        <v>338344</v>
      </c>
      <c r="L10" s="1">
        <v>2517130</v>
      </c>
      <c r="M10" s="1">
        <v>1157</v>
      </c>
      <c r="N10" s="1">
        <v>0</v>
      </c>
      <c r="O10" s="1">
        <v>59825</v>
      </c>
      <c r="P10" s="1">
        <v>49402</v>
      </c>
      <c r="Q10" s="1">
        <v>0</v>
      </c>
      <c r="R10" s="1">
        <v>10423</v>
      </c>
      <c r="S10" s="1">
        <v>20284</v>
      </c>
      <c r="T10" s="1">
        <v>20258</v>
      </c>
      <c r="U10" s="1">
        <v>26</v>
      </c>
      <c r="V10" s="1">
        <v>337187</v>
      </c>
    </row>
    <row r="11" spans="1:22" x14ac:dyDescent="0.25">
      <c r="A11">
        <v>2012</v>
      </c>
      <c r="B11">
        <v>6</v>
      </c>
      <c r="C11" t="s">
        <v>30</v>
      </c>
      <c r="D11" t="s">
        <v>46</v>
      </c>
      <c r="E11" s="1">
        <v>2610284</v>
      </c>
      <c r="F11" s="1">
        <v>2517130</v>
      </c>
      <c r="G11" s="1">
        <v>91649</v>
      </c>
      <c r="H11" s="1">
        <v>1506</v>
      </c>
      <c r="I11" s="1">
        <v>414042</v>
      </c>
      <c r="J11" s="1">
        <v>56968</v>
      </c>
      <c r="K11" s="1">
        <v>357074</v>
      </c>
      <c r="L11" s="1">
        <v>2196243</v>
      </c>
      <c r="M11" s="1">
        <v>1506</v>
      </c>
      <c r="N11" s="1">
        <v>0</v>
      </c>
      <c r="O11" s="1">
        <v>40618</v>
      </c>
      <c r="P11" s="1">
        <v>33608</v>
      </c>
      <c r="Q11" s="1">
        <v>0</v>
      </c>
      <c r="R11" s="1">
        <v>7010</v>
      </c>
      <c r="S11" s="1">
        <v>16350</v>
      </c>
      <c r="T11" s="1">
        <v>16319</v>
      </c>
      <c r="U11" s="1">
        <v>31</v>
      </c>
      <c r="V11" s="1">
        <v>355568</v>
      </c>
    </row>
    <row r="12" spans="1:22" x14ac:dyDescent="0.25">
      <c r="A12">
        <v>2012</v>
      </c>
      <c r="B12">
        <v>7</v>
      </c>
      <c r="C12" t="s">
        <v>31</v>
      </c>
      <c r="D12" t="s">
        <v>46</v>
      </c>
      <c r="E12" s="1">
        <v>2197866</v>
      </c>
      <c r="F12" s="1">
        <v>2196243</v>
      </c>
      <c r="G12" s="1">
        <v>0</v>
      </c>
      <c r="H12" s="1">
        <v>1623</v>
      </c>
      <c r="I12" s="1">
        <v>432887</v>
      </c>
      <c r="J12" s="1">
        <v>90191</v>
      </c>
      <c r="K12" s="1">
        <v>342697</v>
      </c>
      <c r="L12" s="1">
        <v>1764978</v>
      </c>
      <c r="M12" s="1">
        <v>1623</v>
      </c>
      <c r="N12" s="1">
        <v>0</v>
      </c>
      <c r="O12" s="1">
        <v>76264</v>
      </c>
      <c r="P12" s="1">
        <v>64865</v>
      </c>
      <c r="Q12" s="1">
        <v>0</v>
      </c>
      <c r="R12" s="1">
        <v>11399</v>
      </c>
      <c r="S12" s="1">
        <v>13927</v>
      </c>
      <c r="T12" s="1">
        <v>13920</v>
      </c>
      <c r="U12" s="1">
        <v>7</v>
      </c>
      <c r="V12" s="1">
        <v>341074</v>
      </c>
    </row>
    <row r="13" spans="1:22" x14ac:dyDescent="0.25">
      <c r="A13">
        <v>2012</v>
      </c>
      <c r="B13">
        <v>8</v>
      </c>
      <c r="C13" t="s">
        <v>32</v>
      </c>
      <c r="D13" t="s">
        <v>46</v>
      </c>
      <c r="E13" s="1">
        <v>1767002</v>
      </c>
      <c r="F13" s="1">
        <v>1764978</v>
      </c>
      <c r="G13" s="1">
        <v>0</v>
      </c>
      <c r="H13" s="1">
        <v>2024</v>
      </c>
      <c r="I13" s="1">
        <v>438088</v>
      </c>
      <c r="J13" s="1">
        <v>87596</v>
      </c>
      <c r="K13" s="1">
        <v>350491</v>
      </c>
      <c r="L13" s="1">
        <v>1328914</v>
      </c>
      <c r="M13" s="1">
        <v>2024</v>
      </c>
      <c r="N13" s="1">
        <v>0</v>
      </c>
      <c r="O13" s="1">
        <v>72850</v>
      </c>
      <c r="P13" s="1">
        <v>65693</v>
      </c>
      <c r="Q13" s="1">
        <v>0</v>
      </c>
      <c r="R13" s="1">
        <v>7156</v>
      </c>
      <c r="S13" s="1">
        <v>14746</v>
      </c>
      <c r="T13" s="1">
        <v>14736</v>
      </c>
      <c r="U13" s="1">
        <v>11</v>
      </c>
      <c r="V13" s="1">
        <v>348468</v>
      </c>
    </row>
    <row r="14" spans="1:22" x14ac:dyDescent="0.25">
      <c r="A14">
        <v>2012</v>
      </c>
      <c r="B14">
        <v>9</v>
      </c>
      <c r="C14" t="s">
        <v>33</v>
      </c>
      <c r="D14" t="s">
        <v>46</v>
      </c>
      <c r="E14" s="1">
        <v>1330799</v>
      </c>
      <c r="F14" s="1">
        <v>1328914</v>
      </c>
      <c r="G14" s="1">
        <v>0</v>
      </c>
      <c r="H14" s="1">
        <v>1884</v>
      </c>
      <c r="I14" s="1">
        <v>365206</v>
      </c>
      <c r="J14" s="1">
        <v>61999</v>
      </c>
      <c r="K14" s="1">
        <v>303207</v>
      </c>
      <c r="L14" s="1">
        <v>965593</v>
      </c>
      <c r="M14" s="1">
        <v>1884</v>
      </c>
      <c r="N14" s="1">
        <v>0</v>
      </c>
      <c r="O14" s="1">
        <v>50608</v>
      </c>
      <c r="P14" s="1">
        <v>37544</v>
      </c>
      <c r="Q14" s="1">
        <v>0</v>
      </c>
      <c r="R14" s="1">
        <v>13064</v>
      </c>
      <c r="S14" s="1">
        <v>11391</v>
      </c>
      <c r="T14" s="1">
        <v>11348</v>
      </c>
      <c r="U14" s="1">
        <v>43</v>
      </c>
      <c r="V14" s="1">
        <v>301322</v>
      </c>
    </row>
    <row r="15" spans="1:22" x14ac:dyDescent="0.25">
      <c r="A15">
        <v>2012</v>
      </c>
      <c r="B15">
        <v>10</v>
      </c>
      <c r="C15" t="s">
        <v>22</v>
      </c>
      <c r="D15" t="s">
        <v>46</v>
      </c>
      <c r="E15" s="1">
        <v>981514</v>
      </c>
      <c r="F15" s="1">
        <v>965593</v>
      </c>
      <c r="G15" s="1">
        <v>14144</v>
      </c>
      <c r="H15" s="1">
        <v>1777</v>
      </c>
      <c r="I15" s="1">
        <v>430408</v>
      </c>
      <c r="J15" s="1">
        <v>110823</v>
      </c>
      <c r="K15" s="1">
        <v>319585</v>
      </c>
      <c r="L15" s="1">
        <v>551106</v>
      </c>
      <c r="M15" s="1">
        <v>1777</v>
      </c>
      <c r="N15" s="1">
        <v>0</v>
      </c>
      <c r="O15" s="1">
        <v>105512</v>
      </c>
      <c r="P15" s="1">
        <v>93697</v>
      </c>
      <c r="Q15" s="1">
        <v>20</v>
      </c>
      <c r="R15" s="1">
        <v>11794</v>
      </c>
      <c r="S15" s="1">
        <v>5311</v>
      </c>
      <c r="T15" s="1">
        <v>5278</v>
      </c>
      <c r="U15" s="1">
        <v>33</v>
      </c>
      <c r="V15" s="1">
        <v>317808</v>
      </c>
    </row>
    <row r="16" spans="1:22" x14ac:dyDescent="0.25">
      <c r="A16">
        <v>2012</v>
      </c>
      <c r="B16">
        <v>11</v>
      </c>
      <c r="C16" t="s">
        <v>23</v>
      </c>
      <c r="D16" t="s">
        <v>46</v>
      </c>
      <c r="E16" s="1">
        <v>876885</v>
      </c>
      <c r="F16" s="1">
        <v>551106</v>
      </c>
      <c r="G16" s="1">
        <v>324108</v>
      </c>
      <c r="H16" s="1">
        <v>1671</v>
      </c>
      <c r="I16" s="1">
        <v>339200</v>
      </c>
      <c r="J16" s="1">
        <v>58384</v>
      </c>
      <c r="K16" s="1">
        <v>280817</v>
      </c>
      <c r="L16" s="1">
        <v>537684</v>
      </c>
      <c r="M16" s="1">
        <v>1671</v>
      </c>
      <c r="N16" s="1">
        <v>0</v>
      </c>
      <c r="O16" s="1">
        <v>55559</v>
      </c>
      <c r="P16" s="1">
        <v>43592</v>
      </c>
      <c r="Q16" s="1">
        <v>0</v>
      </c>
      <c r="R16" s="1">
        <v>11967</v>
      </c>
      <c r="S16" s="1">
        <v>2825</v>
      </c>
      <c r="T16" s="1">
        <v>2775</v>
      </c>
      <c r="U16" s="1">
        <v>50</v>
      </c>
      <c r="V16" s="1">
        <v>279146</v>
      </c>
    </row>
    <row r="17" spans="1:22" x14ac:dyDescent="0.25">
      <c r="A17">
        <v>2012</v>
      </c>
      <c r="B17">
        <v>12</v>
      </c>
      <c r="C17" t="s">
        <v>24</v>
      </c>
      <c r="D17" t="s">
        <v>46</v>
      </c>
      <c r="E17" s="1">
        <v>1419589</v>
      </c>
      <c r="F17" s="1">
        <v>537684</v>
      </c>
      <c r="G17" s="1">
        <v>881035</v>
      </c>
      <c r="H17" s="1">
        <v>870</v>
      </c>
      <c r="I17" s="1">
        <v>399748</v>
      </c>
      <c r="J17" s="1">
        <v>81205</v>
      </c>
      <c r="K17" s="1">
        <v>318543</v>
      </c>
      <c r="L17" s="1">
        <v>1019841</v>
      </c>
      <c r="M17" s="1">
        <v>870</v>
      </c>
      <c r="N17" s="1">
        <v>0</v>
      </c>
      <c r="O17" s="1">
        <v>78984</v>
      </c>
      <c r="P17" s="1">
        <v>71942</v>
      </c>
      <c r="Q17" s="1">
        <v>41</v>
      </c>
      <c r="R17" s="1">
        <v>7001</v>
      </c>
      <c r="S17" s="1">
        <v>2221</v>
      </c>
      <c r="T17" s="1">
        <v>2194</v>
      </c>
      <c r="U17" s="1">
        <v>27</v>
      </c>
      <c r="V17" s="1">
        <v>317673</v>
      </c>
    </row>
    <row r="18" spans="1:22" x14ac:dyDescent="0.25">
      <c r="A18">
        <v>2013</v>
      </c>
      <c r="B18">
        <v>1</v>
      </c>
      <c r="C18" t="s">
        <v>25</v>
      </c>
      <c r="D18" t="s">
        <v>46</v>
      </c>
      <c r="E18" s="1">
        <v>2094714</v>
      </c>
      <c r="F18" s="1">
        <v>1019841</v>
      </c>
      <c r="G18" s="1">
        <v>1074470</v>
      </c>
      <c r="H18" s="1">
        <v>403</v>
      </c>
      <c r="I18" s="1">
        <v>554357</v>
      </c>
      <c r="J18" s="1">
        <v>114753</v>
      </c>
      <c r="K18" s="1">
        <v>439603</v>
      </c>
      <c r="L18" s="1">
        <v>1540357</v>
      </c>
      <c r="M18" s="1">
        <v>403</v>
      </c>
      <c r="N18" s="1">
        <v>0</v>
      </c>
      <c r="O18" s="1">
        <v>110050</v>
      </c>
      <c r="P18" s="1">
        <v>98484</v>
      </c>
      <c r="Q18" s="1">
        <v>81</v>
      </c>
      <c r="R18" s="1">
        <v>11484</v>
      </c>
      <c r="S18" s="1">
        <v>4703</v>
      </c>
      <c r="T18" s="1">
        <v>4676</v>
      </c>
      <c r="U18" s="1">
        <v>28</v>
      </c>
      <c r="V18" s="1">
        <v>439200</v>
      </c>
    </row>
    <row r="19" spans="1:22" x14ac:dyDescent="0.25">
      <c r="A19">
        <v>2013</v>
      </c>
      <c r="B19">
        <v>2</v>
      </c>
      <c r="C19" t="s">
        <v>26</v>
      </c>
      <c r="D19" t="s">
        <v>46</v>
      </c>
      <c r="E19" s="1">
        <v>2647435</v>
      </c>
      <c r="F19" s="1">
        <v>1540357</v>
      </c>
      <c r="G19" s="1">
        <v>1106582</v>
      </c>
      <c r="H19" s="1">
        <v>496</v>
      </c>
      <c r="I19" s="1">
        <v>489335</v>
      </c>
      <c r="J19" s="1">
        <v>144962</v>
      </c>
      <c r="K19" s="1">
        <v>344373</v>
      </c>
      <c r="L19" s="1">
        <v>2158100</v>
      </c>
      <c r="M19" s="1">
        <v>496</v>
      </c>
      <c r="N19" s="1">
        <v>0</v>
      </c>
      <c r="O19" s="1">
        <v>138222</v>
      </c>
      <c r="P19" s="1">
        <v>125770</v>
      </c>
      <c r="Q19" s="1">
        <v>2938</v>
      </c>
      <c r="R19" s="1">
        <v>9514</v>
      </c>
      <c r="S19" s="1">
        <v>6740</v>
      </c>
      <c r="T19" s="1">
        <v>6705</v>
      </c>
      <c r="U19" s="1">
        <v>35</v>
      </c>
      <c r="V19" s="1">
        <v>343877</v>
      </c>
    </row>
    <row r="20" spans="1:22" x14ac:dyDescent="0.25">
      <c r="A20">
        <v>2013</v>
      </c>
      <c r="B20">
        <v>3</v>
      </c>
      <c r="C20" t="s">
        <v>27</v>
      </c>
      <c r="D20" t="s">
        <v>46</v>
      </c>
      <c r="E20" s="1">
        <v>3373345</v>
      </c>
      <c r="F20" s="1">
        <v>2158100</v>
      </c>
      <c r="G20" s="1">
        <v>1214916</v>
      </c>
      <c r="H20" s="1">
        <v>329</v>
      </c>
      <c r="I20" s="1">
        <v>565148</v>
      </c>
      <c r="J20" s="1">
        <v>216159</v>
      </c>
      <c r="K20" s="1">
        <v>348989</v>
      </c>
      <c r="L20" s="1">
        <v>2808198</v>
      </c>
      <c r="M20" s="1">
        <v>329</v>
      </c>
      <c r="N20" s="1">
        <v>0</v>
      </c>
      <c r="O20" s="1">
        <v>214594</v>
      </c>
      <c r="P20" s="1">
        <v>168978</v>
      </c>
      <c r="Q20" s="1">
        <v>31497</v>
      </c>
      <c r="R20" s="1">
        <v>14119</v>
      </c>
      <c r="S20" s="1">
        <v>1565</v>
      </c>
      <c r="T20" s="1">
        <v>1508</v>
      </c>
      <c r="U20" s="1">
        <v>58</v>
      </c>
      <c r="V20" s="1">
        <v>348660</v>
      </c>
    </row>
    <row r="21" spans="1:22" x14ac:dyDescent="0.25">
      <c r="A21">
        <v>2013</v>
      </c>
      <c r="B21">
        <v>4</v>
      </c>
      <c r="C21" t="s">
        <v>28</v>
      </c>
      <c r="D21" t="s">
        <v>46</v>
      </c>
      <c r="E21" s="1">
        <v>3950914</v>
      </c>
      <c r="F21" s="1">
        <v>2808198</v>
      </c>
      <c r="G21" s="1">
        <v>1142245</v>
      </c>
      <c r="H21" s="1">
        <v>472</v>
      </c>
      <c r="I21" s="1">
        <v>687849</v>
      </c>
      <c r="J21" s="1">
        <v>213159</v>
      </c>
      <c r="K21" s="1">
        <v>474690</v>
      </c>
      <c r="L21" s="1">
        <v>3263065</v>
      </c>
      <c r="M21" s="1">
        <v>472</v>
      </c>
      <c r="N21" s="1">
        <v>0</v>
      </c>
      <c r="O21" s="1">
        <v>210015</v>
      </c>
      <c r="P21" s="1">
        <v>175527</v>
      </c>
      <c r="Q21" s="1">
        <v>17325</v>
      </c>
      <c r="R21" s="1">
        <v>17163</v>
      </c>
      <c r="S21" s="1">
        <v>3144</v>
      </c>
      <c r="T21" s="1">
        <v>3114</v>
      </c>
      <c r="U21" s="1">
        <v>31</v>
      </c>
      <c r="V21" s="1">
        <v>474218</v>
      </c>
    </row>
    <row r="22" spans="1:22" x14ac:dyDescent="0.25">
      <c r="A22">
        <v>2013</v>
      </c>
      <c r="B22">
        <v>5</v>
      </c>
      <c r="C22" t="s">
        <v>29</v>
      </c>
      <c r="D22" t="s">
        <v>46</v>
      </c>
      <c r="E22" s="1">
        <v>4198057</v>
      </c>
      <c r="F22" s="1">
        <v>3263065</v>
      </c>
      <c r="G22" s="1">
        <v>934422</v>
      </c>
      <c r="H22" s="1">
        <v>570</v>
      </c>
      <c r="I22" s="1">
        <v>710263</v>
      </c>
      <c r="J22" s="1">
        <v>238140</v>
      </c>
      <c r="K22" s="1">
        <v>472124</v>
      </c>
      <c r="L22" s="1">
        <v>3487793</v>
      </c>
      <c r="M22" s="1">
        <v>570</v>
      </c>
      <c r="N22" s="1">
        <v>0</v>
      </c>
      <c r="O22" s="1">
        <v>237043</v>
      </c>
      <c r="P22" s="1">
        <v>194798</v>
      </c>
      <c r="Q22" s="1">
        <v>22077</v>
      </c>
      <c r="R22" s="1">
        <v>20168</v>
      </c>
      <c r="S22" s="1">
        <v>1097</v>
      </c>
      <c r="T22" s="1">
        <v>1083</v>
      </c>
      <c r="U22" s="1">
        <v>14</v>
      </c>
      <c r="V22" s="1">
        <v>471553</v>
      </c>
    </row>
    <row r="23" spans="1:22" x14ac:dyDescent="0.25">
      <c r="A23">
        <v>2013</v>
      </c>
      <c r="B23">
        <v>6</v>
      </c>
      <c r="C23" t="s">
        <v>30</v>
      </c>
      <c r="D23" t="s">
        <v>46</v>
      </c>
      <c r="E23" s="1">
        <v>3755734</v>
      </c>
      <c r="F23" s="1">
        <v>3487793</v>
      </c>
      <c r="G23" s="1">
        <v>267198</v>
      </c>
      <c r="H23" s="1">
        <v>743</v>
      </c>
      <c r="I23" s="1">
        <v>557149</v>
      </c>
      <c r="J23" s="1">
        <v>212758</v>
      </c>
      <c r="K23" s="1">
        <v>344391</v>
      </c>
      <c r="L23" s="1">
        <v>3198585</v>
      </c>
      <c r="M23" s="1">
        <v>743</v>
      </c>
      <c r="N23" s="1">
        <v>0</v>
      </c>
      <c r="O23" s="1">
        <v>211214</v>
      </c>
      <c r="P23" s="1">
        <v>174685</v>
      </c>
      <c r="Q23" s="1">
        <v>21330</v>
      </c>
      <c r="R23" s="1">
        <v>15199</v>
      </c>
      <c r="S23" s="1">
        <v>1544</v>
      </c>
      <c r="T23" s="1">
        <v>1516</v>
      </c>
      <c r="U23" s="1">
        <v>28</v>
      </c>
      <c r="V23" s="1">
        <v>343648</v>
      </c>
    </row>
    <row r="24" spans="1:22" x14ac:dyDescent="0.25">
      <c r="A24">
        <v>2013</v>
      </c>
      <c r="B24">
        <v>7</v>
      </c>
      <c r="C24" t="s">
        <v>31</v>
      </c>
      <c r="D24" t="s">
        <v>46</v>
      </c>
      <c r="E24" s="1">
        <v>3214693</v>
      </c>
      <c r="F24" s="1">
        <v>3198585</v>
      </c>
      <c r="G24" s="1">
        <v>15679</v>
      </c>
      <c r="H24" s="1">
        <v>429</v>
      </c>
      <c r="I24" s="1">
        <v>533787</v>
      </c>
      <c r="J24" s="1">
        <v>296285</v>
      </c>
      <c r="K24" s="1">
        <v>237502</v>
      </c>
      <c r="L24" s="1">
        <v>2680906</v>
      </c>
      <c r="M24" s="1">
        <v>429</v>
      </c>
      <c r="N24" s="1">
        <v>0</v>
      </c>
      <c r="O24" s="1">
        <v>294792</v>
      </c>
      <c r="P24" s="1">
        <v>238257</v>
      </c>
      <c r="Q24" s="1">
        <v>39413</v>
      </c>
      <c r="R24" s="1">
        <v>17123</v>
      </c>
      <c r="S24" s="1">
        <v>1492</v>
      </c>
      <c r="T24" s="1">
        <v>818</v>
      </c>
      <c r="U24" s="1">
        <v>675</v>
      </c>
      <c r="V24" s="1">
        <v>237073</v>
      </c>
    </row>
    <row r="25" spans="1:22" x14ac:dyDescent="0.25">
      <c r="A25">
        <v>2013</v>
      </c>
      <c r="B25">
        <v>8</v>
      </c>
      <c r="C25" t="s">
        <v>32</v>
      </c>
      <c r="D25" t="s">
        <v>46</v>
      </c>
      <c r="E25" s="1">
        <v>2681825</v>
      </c>
      <c r="F25" s="1">
        <v>2680906</v>
      </c>
      <c r="G25" s="1">
        <v>0</v>
      </c>
      <c r="H25" s="1">
        <v>919</v>
      </c>
      <c r="I25" s="1">
        <v>693163</v>
      </c>
      <c r="J25" s="1">
        <v>275877</v>
      </c>
      <c r="K25" s="1">
        <v>417287</v>
      </c>
      <c r="L25" s="1">
        <v>1988662</v>
      </c>
      <c r="M25" s="1">
        <v>919</v>
      </c>
      <c r="N25" s="1">
        <v>0</v>
      </c>
      <c r="O25" s="1">
        <v>273207</v>
      </c>
      <c r="P25" s="1">
        <v>246076</v>
      </c>
      <c r="Q25" s="1">
        <v>12283</v>
      </c>
      <c r="R25" s="1">
        <v>14848</v>
      </c>
      <c r="S25" s="1">
        <v>2669</v>
      </c>
      <c r="T25" s="1">
        <v>2099</v>
      </c>
      <c r="U25" s="1">
        <v>571</v>
      </c>
      <c r="V25" s="1">
        <v>416368</v>
      </c>
    </row>
    <row r="26" spans="1:22" x14ac:dyDescent="0.25">
      <c r="A26">
        <v>2013</v>
      </c>
      <c r="B26">
        <v>9</v>
      </c>
      <c r="C26" t="s">
        <v>33</v>
      </c>
      <c r="D26" t="s">
        <v>46</v>
      </c>
      <c r="E26" s="1">
        <v>1989359</v>
      </c>
      <c r="F26" s="1">
        <v>1988662</v>
      </c>
      <c r="G26" s="1">
        <v>0</v>
      </c>
      <c r="H26" s="1">
        <v>698</v>
      </c>
      <c r="I26" s="1">
        <v>529016</v>
      </c>
      <c r="J26" s="1">
        <v>240052</v>
      </c>
      <c r="K26" s="1">
        <v>288963</v>
      </c>
      <c r="L26" s="1">
        <v>1460343</v>
      </c>
      <c r="M26" s="1">
        <v>698</v>
      </c>
      <c r="N26" s="1">
        <v>0</v>
      </c>
      <c r="O26" s="1">
        <v>236469</v>
      </c>
      <c r="P26" s="1">
        <v>214563</v>
      </c>
      <c r="Q26" s="1">
        <v>4577</v>
      </c>
      <c r="R26" s="1">
        <v>17328</v>
      </c>
      <c r="S26" s="1">
        <v>3583</v>
      </c>
      <c r="T26" s="1">
        <v>2016</v>
      </c>
      <c r="U26" s="1">
        <v>1568</v>
      </c>
      <c r="V26" s="1">
        <v>288266</v>
      </c>
    </row>
    <row r="27" spans="1:22" x14ac:dyDescent="0.25">
      <c r="A27">
        <v>2013</v>
      </c>
      <c r="B27">
        <v>10</v>
      </c>
      <c r="C27" t="s">
        <v>22</v>
      </c>
      <c r="D27" t="s">
        <v>46</v>
      </c>
      <c r="E27" s="1">
        <v>1460889</v>
      </c>
      <c r="F27" s="1">
        <v>1460343</v>
      </c>
      <c r="G27" s="1">
        <v>0</v>
      </c>
      <c r="H27" s="1">
        <v>546</v>
      </c>
      <c r="I27" s="1">
        <v>576029</v>
      </c>
      <c r="J27" s="1">
        <v>268308</v>
      </c>
      <c r="K27" s="1">
        <v>307721</v>
      </c>
      <c r="L27" s="1">
        <v>884860</v>
      </c>
      <c r="M27" s="1">
        <v>546</v>
      </c>
      <c r="N27" s="1">
        <v>0</v>
      </c>
      <c r="O27" s="1">
        <v>257017</v>
      </c>
      <c r="P27" s="1">
        <v>232493</v>
      </c>
      <c r="Q27" s="1">
        <v>13001</v>
      </c>
      <c r="R27" s="1">
        <v>11524</v>
      </c>
      <c r="S27" s="1">
        <v>11290</v>
      </c>
      <c r="T27" s="1">
        <v>11272</v>
      </c>
      <c r="U27" s="1">
        <v>18</v>
      </c>
      <c r="V27" s="1">
        <v>307176</v>
      </c>
    </row>
    <row r="28" spans="1:22" x14ac:dyDescent="0.25">
      <c r="A28">
        <v>2013</v>
      </c>
      <c r="B28">
        <v>11</v>
      </c>
      <c r="C28" t="s">
        <v>23</v>
      </c>
      <c r="D28" t="s">
        <v>46</v>
      </c>
      <c r="E28" s="1">
        <v>1017099</v>
      </c>
      <c r="F28" s="1">
        <v>884860</v>
      </c>
      <c r="G28" s="1">
        <v>131690</v>
      </c>
      <c r="H28" s="1">
        <v>549</v>
      </c>
      <c r="I28" s="1">
        <v>460534</v>
      </c>
      <c r="J28" s="1">
        <v>258926</v>
      </c>
      <c r="K28" s="1">
        <v>201607</v>
      </c>
      <c r="L28" s="1">
        <v>556566</v>
      </c>
      <c r="M28" s="1">
        <v>549</v>
      </c>
      <c r="N28" s="1">
        <v>0</v>
      </c>
      <c r="O28" s="1">
        <v>256605</v>
      </c>
      <c r="P28" s="1">
        <v>199452</v>
      </c>
      <c r="Q28" s="1">
        <v>42046</v>
      </c>
      <c r="R28" s="1">
        <v>15106</v>
      </c>
      <c r="S28" s="1">
        <v>2322</v>
      </c>
      <c r="T28" s="1">
        <v>2279</v>
      </c>
      <c r="U28" s="1">
        <v>43</v>
      </c>
      <c r="V28" s="1">
        <v>201058</v>
      </c>
    </row>
    <row r="29" spans="1:22" x14ac:dyDescent="0.25">
      <c r="A29">
        <v>2013</v>
      </c>
      <c r="B29">
        <v>12</v>
      </c>
      <c r="C29" t="s">
        <v>24</v>
      </c>
      <c r="D29" t="s">
        <v>46</v>
      </c>
      <c r="E29" s="1">
        <v>1248711</v>
      </c>
      <c r="F29" s="1">
        <v>556566</v>
      </c>
      <c r="G29" s="1">
        <v>691393</v>
      </c>
      <c r="H29" s="1">
        <v>752</v>
      </c>
      <c r="I29" s="1">
        <v>561943</v>
      </c>
      <c r="J29" s="1">
        <v>217107</v>
      </c>
      <c r="K29" s="1">
        <v>344836</v>
      </c>
      <c r="L29" s="1">
        <v>686768</v>
      </c>
      <c r="M29" s="1">
        <v>752</v>
      </c>
      <c r="N29" s="1">
        <v>0</v>
      </c>
      <c r="O29" s="1">
        <v>211302</v>
      </c>
      <c r="P29" s="1">
        <v>121781</v>
      </c>
      <c r="Q29" s="1">
        <v>81597</v>
      </c>
      <c r="R29" s="1">
        <v>7925</v>
      </c>
      <c r="S29" s="1">
        <v>5805</v>
      </c>
      <c r="T29" s="1">
        <v>5437</v>
      </c>
      <c r="U29" s="1">
        <v>368</v>
      </c>
      <c r="V29" s="1">
        <v>344084</v>
      </c>
    </row>
    <row r="30" spans="1:22" x14ac:dyDescent="0.25">
      <c r="A30">
        <v>2014</v>
      </c>
      <c r="B30">
        <v>1</v>
      </c>
      <c r="C30" t="s">
        <v>25</v>
      </c>
      <c r="D30" t="s">
        <v>46</v>
      </c>
      <c r="E30" s="1">
        <v>1622687</v>
      </c>
      <c r="F30" s="1">
        <v>686768</v>
      </c>
      <c r="G30" s="1">
        <v>934541</v>
      </c>
      <c r="H30" s="1">
        <v>1378</v>
      </c>
      <c r="I30" s="1">
        <v>605327</v>
      </c>
      <c r="J30" s="1">
        <v>125474</v>
      </c>
      <c r="K30" s="1">
        <v>479854</v>
      </c>
      <c r="L30" s="1">
        <v>1017360</v>
      </c>
      <c r="M30" s="1">
        <v>1378</v>
      </c>
      <c r="N30" s="1">
        <v>0</v>
      </c>
      <c r="O30" s="1">
        <v>121248</v>
      </c>
      <c r="P30" s="1">
        <v>69131</v>
      </c>
      <c r="Q30" s="1">
        <v>44964</v>
      </c>
      <c r="R30" s="1">
        <v>7153</v>
      </c>
      <c r="S30" s="1">
        <v>4225</v>
      </c>
      <c r="T30" s="1">
        <v>4186</v>
      </c>
      <c r="U30" s="1">
        <v>39</v>
      </c>
      <c r="V30" s="1">
        <v>478475</v>
      </c>
    </row>
    <row r="31" spans="1:22" x14ac:dyDescent="0.25">
      <c r="A31">
        <v>2014</v>
      </c>
      <c r="B31">
        <v>2</v>
      </c>
      <c r="C31" t="s">
        <v>26</v>
      </c>
      <c r="D31" t="s">
        <v>46</v>
      </c>
      <c r="E31" s="1">
        <v>2062835</v>
      </c>
      <c r="F31" s="1">
        <v>1017360</v>
      </c>
      <c r="G31" s="1">
        <v>1045014</v>
      </c>
      <c r="H31" s="1">
        <v>461</v>
      </c>
      <c r="I31" s="1">
        <v>560567</v>
      </c>
      <c r="J31" s="1">
        <v>247864</v>
      </c>
      <c r="K31" s="1">
        <v>312702</v>
      </c>
      <c r="L31" s="1">
        <v>1502268</v>
      </c>
      <c r="M31" s="1">
        <v>461</v>
      </c>
      <c r="N31" s="1">
        <v>0</v>
      </c>
      <c r="O31" s="1">
        <v>236336</v>
      </c>
      <c r="P31" s="1">
        <v>152064</v>
      </c>
      <c r="Q31" s="1">
        <v>68098</v>
      </c>
      <c r="R31" s="1">
        <v>16175</v>
      </c>
      <c r="S31" s="1">
        <v>11528</v>
      </c>
      <c r="T31" s="1">
        <v>11480</v>
      </c>
      <c r="U31" s="1">
        <v>48</v>
      </c>
      <c r="V31" s="1">
        <v>312241</v>
      </c>
    </row>
    <row r="32" spans="1:22" x14ac:dyDescent="0.25">
      <c r="A32">
        <v>2014</v>
      </c>
      <c r="B32">
        <v>3</v>
      </c>
      <c r="C32" t="s">
        <v>27</v>
      </c>
      <c r="D32" t="s">
        <v>46</v>
      </c>
      <c r="E32" s="1">
        <v>2697289</v>
      </c>
      <c r="F32" s="1">
        <v>1502268</v>
      </c>
      <c r="G32" s="1">
        <v>1194477</v>
      </c>
      <c r="H32" s="1">
        <v>544</v>
      </c>
      <c r="I32" s="1">
        <v>674890</v>
      </c>
      <c r="J32" s="1">
        <v>294448</v>
      </c>
      <c r="K32" s="1">
        <v>380443</v>
      </c>
      <c r="L32" s="1">
        <v>2022398</v>
      </c>
      <c r="M32" s="1">
        <v>544</v>
      </c>
      <c r="N32" s="1">
        <v>0</v>
      </c>
      <c r="O32" s="1">
        <v>292969</v>
      </c>
      <c r="P32" s="1">
        <v>167108</v>
      </c>
      <c r="Q32" s="1">
        <v>110430</v>
      </c>
      <c r="R32" s="1">
        <v>15431</v>
      </c>
      <c r="S32" s="1">
        <v>1479</v>
      </c>
      <c r="T32" s="1">
        <v>1457</v>
      </c>
      <c r="U32" s="1">
        <v>22</v>
      </c>
      <c r="V32" s="1">
        <v>379899</v>
      </c>
    </row>
    <row r="33" spans="1:22" x14ac:dyDescent="0.25">
      <c r="A33">
        <v>2014</v>
      </c>
      <c r="B33">
        <v>4</v>
      </c>
      <c r="C33" t="s">
        <v>28</v>
      </c>
      <c r="D33" t="s">
        <v>46</v>
      </c>
      <c r="E33" s="1">
        <v>3102913</v>
      </c>
      <c r="F33" s="1">
        <v>2022398</v>
      </c>
      <c r="G33" s="1">
        <v>1080052</v>
      </c>
      <c r="H33" s="1">
        <v>463</v>
      </c>
      <c r="I33" s="1">
        <v>743840</v>
      </c>
      <c r="J33" s="1">
        <v>315275</v>
      </c>
      <c r="K33" s="1">
        <v>428565</v>
      </c>
      <c r="L33" s="1">
        <v>2359073</v>
      </c>
      <c r="M33" s="1">
        <v>463</v>
      </c>
      <c r="N33" s="1">
        <v>0</v>
      </c>
      <c r="O33" s="1">
        <v>313439</v>
      </c>
      <c r="P33" s="1">
        <v>196313</v>
      </c>
      <c r="Q33" s="1">
        <v>103516</v>
      </c>
      <c r="R33" s="1">
        <v>13610</v>
      </c>
      <c r="S33" s="1">
        <v>1836</v>
      </c>
      <c r="T33" s="1">
        <v>1824</v>
      </c>
      <c r="U33" s="1">
        <v>13</v>
      </c>
      <c r="V33" s="1">
        <v>428101</v>
      </c>
    </row>
    <row r="34" spans="1:22" x14ac:dyDescent="0.25">
      <c r="A34">
        <v>2014</v>
      </c>
      <c r="B34">
        <v>5</v>
      </c>
      <c r="C34" t="s">
        <v>29</v>
      </c>
      <c r="D34" t="s">
        <v>46</v>
      </c>
      <c r="E34" s="1">
        <v>3096768</v>
      </c>
      <c r="F34" s="1">
        <v>2359073</v>
      </c>
      <c r="G34" s="1">
        <v>737115</v>
      </c>
      <c r="H34" s="1">
        <v>580</v>
      </c>
      <c r="I34" s="1">
        <v>710001</v>
      </c>
      <c r="J34" s="1">
        <v>323122</v>
      </c>
      <c r="K34" s="1">
        <v>386879</v>
      </c>
      <c r="L34" s="1">
        <v>2386767</v>
      </c>
      <c r="M34" s="1">
        <v>580</v>
      </c>
      <c r="N34" s="1">
        <v>0</v>
      </c>
      <c r="O34" s="1">
        <v>319879</v>
      </c>
      <c r="P34" s="1">
        <v>240766</v>
      </c>
      <c r="Q34" s="1">
        <v>63378</v>
      </c>
      <c r="R34" s="1">
        <v>15735</v>
      </c>
      <c r="S34" s="1">
        <v>3243</v>
      </c>
      <c r="T34" s="1">
        <v>3079</v>
      </c>
      <c r="U34" s="1">
        <v>164</v>
      </c>
      <c r="V34" s="1">
        <v>386299</v>
      </c>
    </row>
    <row r="35" spans="1:22" x14ac:dyDescent="0.25">
      <c r="A35">
        <v>2014</v>
      </c>
      <c r="B35">
        <v>6</v>
      </c>
      <c r="C35" t="s">
        <v>30</v>
      </c>
      <c r="D35" t="s">
        <v>46</v>
      </c>
      <c r="E35" s="1">
        <v>2584921</v>
      </c>
      <c r="F35" s="1">
        <v>2386767</v>
      </c>
      <c r="G35" s="1">
        <v>196811</v>
      </c>
      <c r="H35" s="1">
        <v>1343</v>
      </c>
      <c r="I35" s="1">
        <v>484749</v>
      </c>
      <c r="J35" s="1">
        <v>179044</v>
      </c>
      <c r="K35" s="1">
        <v>305705</v>
      </c>
      <c r="L35" s="1">
        <v>2100172</v>
      </c>
      <c r="M35" s="1">
        <v>1343</v>
      </c>
      <c r="N35" s="1">
        <v>0</v>
      </c>
      <c r="O35" s="1">
        <v>173027</v>
      </c>
      <c r="P35" s="1">
        <v>110505</v>
      </c>
      <c r="Q35" s="1">
        <v>48729</v>
      </c>
      <c r="R35" s="1">
        <v>13793</v>
      </c>
      <c r="S35" s="1">
        <v>6017</v>
      </c>
      <c r="T35" s="1">
        <v>5967</v>
      </c>
      <c r="U35" s="1">
        <v>50</v>
      </c>
      <c r="V35" s="1">
        <v>304362</v>
      </c>
    </row>
    <row r="36" spans="1:22" x14ac:dyDescent="0.25">
      <c r="A36">
        <v>2014</v>
      </c>
      <c r="B36">
        <v>7</v>
      </c>
      <c r="C36" t="s">
        <v>31</v>
      </c>
      <c r="D36" t="s">
        <v>46</v>
      </c>
      <c r="E36" s="1">
        <v>2110885</v>
      </c>
      <c r="F36" s="1">
        <v>2100172</v>
      </c>
      <c r="G36" s="1">
        <v>10200</v>
      </c>
      <c r="H36" s="1">
        <v>513</v>
      </c>
      <c r="I36" s="1">
        <v>501042</v>
      </c>
      <c r="J36" s="1">
        <v>172150</v>
      </c>
      <c r="K36" s="1">
        <v>328892</v>
      </c>
      <c r="L36" s="1">
        <v>1609843</v>
      </c>
      <c r="M36" s="1">
        <v>513</v>
      </c>
      <c r="N36" s="1">
        <v>0</v>
      </c>
      <c r="O36" s="1">
        <v>166010</v>
      </c>
      <c r="P36" s="1">
        <v>81306</v>
      </c>
      <c r="Q36" s="1">
        <v>65602</v>
      </c>
      <c r="R36" s="1">
        <v>19103</v>
      </c>
      <c r="S36" s="1">
        <v>6141</v>
      </c>
      <c r="T36" s="1">
        <v>6063</v>
      </c>
      <c r="U36" s="1">
        <v>78</v>
      </c>
      <c r="V36" s="1">
        <v>328378</v>
      </c>
    </row>
    <row r="37" spans="1:22" x14ac:dyDescent="0.25">
      <c r="A37">
        <v>2014</v>
      </c>
      <c r="B37">
        <v>8</v>
      </c>
      <c r="C37" t="s">
        <v>32</v>
      </c>
      <c r="D37" t="s">
        <v>46</v>
      </c>
      <c r="E37" s="1">
        <v>1610457</v>
      </c>
      <c r="F37" s="1">
        <v>1609843</v>
      </c>
      <c r="G37" s="1">
        <v>0</v>
      </c>
      <c r="H37" s="1">
        <v>614</v>
      </c>
      <c r="I37" s="1">
        <v>415801</v>
      </c>
      <c r="J37" s="1">
        <v>117184</v>
      </c>
      <c r="K37" s="1">
        <v>298617</v>
      </c>
      <c r="L37" s="1">
        <v>1194655</v>
      </c>
      <c r="M37" s="1">
        <v>614</v>
      </c>
      <c r="N37" s="1">
        <v>0</v>
      </c>
      <c r="O37" s="1">
        <v>112442</v>
      </c>
      <c r="P37" s="1">
        <v>71956</v>
      </c>
      <c r="Q37" s="1">
        <v>24217</v>
      </c>
      <c r="R37" s="1">
        <v>16269</v>
      </c>
      <c r="S37" s="1">
        <v>4741</v>
      </c>
      <c r="T37" s="1">
        <v>4632</v>
      </c>
      <c r="U37" s="1">
        <v>109</v>
      </c>
      <c r="V37" s="1">
        <v>298003</v>
      </c>
    </row>
    <row r="38" spans="1:22" x14ac:dyDescent="0.25">
      <c r="A38">
        <v>2014</v>
      </c>
      <c r="B38">
        <v>9</v>
      </c>
      <c r="C38" t="s">
        <v>33</v>
      </c>
      <c r="D38" t="s">
        <v>46</v>
      </c>
      <c r="E38" s="1">
        <v>1195612</v>
      </c>
      <c r="F38" s="1">
        <v>1194655</v>
      </c>
      <c r="G38" s="1">
        <v>0</v>
      </c>
      <c r="H38" s="1">
        <v>957</v>
      </c>
      <c r="I38" s="1">
        <v>364468</v>
      </c>
      <c r="J38" s="1">
        <v>42217</v>
      </c>
      <c r="K38" s="1">
        <v>322251</v>
      </c>
      <c r="L38" s="1">
        <v>831144</v>
      </c>
      <c r="M38" s="1">
        <v>957</v>
      </c>
      <c r="N38" s="1">
        <v>0</v>
      </c>
      <c r="O38" s="1">
        <v>35772</v>
      </c>
      <c r="P38" s="1">
        <v>20261</v>
      </c>
      <c r="Q38" s="1">
        <v>4802</v>
      </c>
      <c r="R38" s="1">
        <v>10709</v>
      </c>
      <c r="S38" s="1">
        <v>6445</v>
      </c>
      <c r="T38" s="1">
        <v>42</v>
      </c>
      <c r="U38" s="1">
        <v>4802</v>
      </c>
      <c r="V38" s="1">
        <v>321294</v>
      </c>
    </row>
    <row r="39" spans="1:22" x14ac:dyDescent="0.25">
      <c r="A39">
        <v>2014</v>
      </c>
      <c r="B39">
        <v>10</v>
      </c>
      <c r="C39" t="s">
        <v>22</v>
      </c>
      <c r="D39" t="s">
        <v>46</v>
      </c>
      <c r="E39" s="1">
        <v>835214</v>
      </c>
      <c r="F39" s="1">
        <v>831144</v>
      </c>
      <c r="G39" s="1">
        <v>3128</v>
      </c>
      <c r="H39" s="1">
        <v>942</v>
      </c>
      <c r="I39" s="1">
        <v>373608</v>
      </c>
      <c r="J39" s="1">
        <v>43347</v>
      </c>
      <c r="K39" s="1">
        <v>330261</v>
      </c>
      <c r="L39" s="1">
        <v>461606</v>
      </c>
      <c r="M39" s="1">
        <v>942</v>
      </c>
      <c r="N39" s="1">
        <v>0</v>
      </c>
      <c r="O39" s="1">
        <v>35243</v>
      </c>
      <c r="P39" s="1">
        <v>17596</v>
      </c>
      <c r="Q39" s="1">
        <v>26</v>
      </c>
      <c r="R39" s="1">
        <v>17621</v>
      </c>
      <c r="S39" s="1">
        <v>8104</v>
      </c>
      <c r="T39" s="1">
        <v>37</v>
      </c>
      <c r="U39" s="1">
        <v>26</v>
      </c>
      <c r="V39" s="1">
        <v>329319</v>
      </c>
    </row>
    <row r="40" spans="1:22" x14ac:dyDescent="0.25">
      <c r="A40">
        <v>2014</v>
      </c>
      <c r="B40">
        <v>11</v>
      </c>
      <c r="C40" t="s">
        <v>23</v>
      </c>
      <c r="D40" t="s">
        <v>46</v>
      </c>
      <c r="E40" s="1">
        <v>690351</v>
      </c>
      <c r="F40" s="1">
        <v>461606</v>
      </c>
      <c r="G40" s="1">
        <v>227800</v>
      </c>
      <c r="H40" s="1">
        <v>945</v>
      </c>
      <c r="I40" s="1">
        <v>283991</v>
      </c>
      <c r="J40" s="1">
        <v>19815</v>
      </c>
      <c r="K40" s="1">
        <v>264176</v>
      </c>
      <c r="L40" s="1">
        <v>406360</v>
      </c>
      <c r="M40" s="1">
        <v>945</v>
      </c>
      <c r="N40" s="1">
        <v>0</v>
      </c>
      <c r="O40" s="1">
        <v>16417</v>
      </c>
      <c r="P40" s="1">
        <v>7822</v>
      </c>
      <c r="Q40" s="1">
        <v>0</v>
      </c>
      <c r="R40" s="1">
        <v>8595</v>
      </c>
      <c r="S40" s="1">
        <v>3398</v>
      </c>
      <c r="T40" s="1">
        <v>25</v>
      </c>
      <c r="U40" s="1">
        <v>0</v>
      </c>
      <c r="V40" s="1">
        <v>263231</v>
      </c>
    </row>
    <row r="41" spans="1:22" x14ac:dyDescent="0.25">
      <c r="A41">
        <v>2014</v>
      </c>
      <c r="B41">
        <v>12</v>
      </c>
      <c r="C41" t="s">
        <v>24</v>
      </c>
      <c r="D41" t="s">
        <v>46</v>
      </c>
      <c r="E41" s="1">
        <v>1220366</v>
      </c>
      <c r="F41" s="1">
        <v>406360</v>
      </c>
      <c r="G41" s="1">
        <v>812879</v>
      </c>
      <c r="H41" s="1">
        <v>1126</v>
      </c>
      <c r="I41" s="1">
        <v>479689</v>
      </c>
      <c r="J41" s="1">
        <v>23357</v>
      </c>
      <c r="K41" s="1">
        <v>456332</v>
      </c>
      <c r="L41" s="1">
        <v>740677</v>
      </c>
      <c r="M41" s="1">
        <v>1126</v>
      </c>
      <c r="N41" s="1">
        <v>0</v>
      </c>
      <c r="O41" s="1">
        <v>20875</v>
      </c>
      <c r="P41" s="1">
        <v>11031</v>
      </c>
      <c r="Q41" s="1">
        <v>0</v>
      </c>
      <c r="R41" s="1">
        <v>9844</v>
      </c>
      <c r="S41" s="1">
        <v>2483</v>
      </c>
      <c r="T41" s="1">
        <v>25</v>
      </c>
      <c r="U41" s="1">
        <v>0</v>
      </c>
      <c r="V41" s="1">
        <v>455205</v>
      </c>
    </row>
    <row r="42" spans="1:22" x14ac:dyDescent="0.25">
      <c r="A42">
        <v>2015</v>
      </c>
      <c r="B42">
        <v>1</v>
      </c>
      <c r="C42" t="s">
        <v>25</v>
      </c>
      <c r="D42" t="s">
        <v>46</v>
      </c>
      <c r="E42" s="1">
        <v>1710477</v>
      </c>
      <c r="F42" s="1">
        <v>740677</v>
      </c>
      <c r="G42" s="1">
        <v>969617</v>
      </c>
      <c r="H42" s="1">
        <v>183</v>
      </c>
      <c r="I42" s="1">
        <v>464393</v>
      </c>
      <c r="J42" s="1">
        <v>82507</v>
      </c>
      <c r="K42" s="1">
        <v>381886</v>
      </c>
      <c r="L42" s="1">
        <v>1246084</v>
      </c>
      <c r="M42" s="1">
        <v>183</v>
      </c>
      <c r="N42" s="1">
        <v>0</v>
      </c>
      <c r="O42" s="1">
        <v>79230</v>
      </c>
      <c r="P42" s="1">
        <v>10761</v>
      </c>
      <c r="Q42" s="1">
        <v>60000</v>
      </c>
      <c r="R42" s="1">
        <v>8469</v>
      </c>
      <c r="S42" s="1">
        <v>3277</v>
      </c>
      <c r="T42" s="1">
        <v>50</v>
      </c>
      <c r="U42" s="1">
        <v>60000</v>
      </c>
      <c r="V42" s="1">
        <v>381703</v>
      </c>
    </row>
    <row r="43" spans="1:22" x14ac:dyDescent="0.25">
      <c r="A43">
        <v>2015</v>
      </c>
      <c r="B43">
        <v>2</v>
      </c>
      <c r="C43" t="s">
        <v>26</v>
      </c>
      <c r="D43" t="s">
        <v>46</v>
      </c>
      <c r="E43" s="1">
        <v>2278793</v>
      </c>
      <c r="F43" s="1">
        <v>1246084</v>
      </c>
      <c r="G43" s="1">
        <v>1032501</v>
      </c>
      <c r="H43" s="1">
        <v>208</v>
      </c>
      <c r="I43" s="1">
        <v>601824</v>
      </c>
      <c r="J43" s="1">
        <v>129812</v>
      </c>
      <c r="K43" s="1">
        <v>472012</v>
      </c>
      <c r="L43" s="1">
        <v>1676969</v>
      </c>
      <c r="M43" s="1">
        <v>208</v>
      </c>
      <c r="N43" s="1">
        <v>0</v>
      </c>
      <c r="O43" s="1">
        <v>123870</v>
      </c>
      <c r="P43" s="1">
        <v>111839</v>
      </c>
      <c r="Q43" s="1">
        <v>0</v>
      </c>
      <c r="R43" s="1">
        <v>12031</v>
      </c>
      <c r="S43" s="1">
        <v>5943</v>
      </c>
      <c r="T43" s="1">
        <v>3</v>
      </c>
      <c r="U43" s="1">
        <v>0</v>
      </c>
      <c r="V43" s="1">
        <v>471804</v>
      </c>
    </row>
    <row r="44" spans="1:22" x14ac:dyDescent="0.25">
      <c r="A44">
        <v>2015</v>
      </c>
      <c r="B44">
        <v>3</v>
      </c>
      <c r="C44" t="s">
        <v>27</v>
      </c>
      <c r="D44" t="s">
        <v>46</v>
      </c>
      <c r="E44" s="1">
        <v>2678934</v>
      </c>
      <c r="F44" s="1">
        <v>1676969</v>
      </c>
      <c r="G44" s="1">
        <v>1001371</v>
      </c>
      <c r="H44" s="1">
        <v>595</v>
      </c>
      <c r="I44" s="1">
        <v>589362</v>
      </c>
      <c r="J44" s="1">
        <v>142122</v>
      </c>
      <c r="K44" s="1">
        <v>447240</v>
      </c>
      <c r="L44" s="1">
        <v>2089573</v>
      </c>
      <c r="M44" s="1">
        <v>595</v>
      </c>
      <c r="N44" s="1">
        <v>0</v>
      </c>
      <c r="O44" s="1">
        <v>142045</v>
      </c>
      <c r="P44" s="1">
        <v>130905</v>
      </c>
      <c r="Q44" s="1">
        <v>22</v>
      </c>
      <c r="R44" s="1">
        <v>11118</v>
      </c>
      <c r="S44" s="1">
        <v>77</v>
      </c>
      <c r="T44" s="1">
        <v>25</v>
      </c>
      <c r="U44" s="1">
        <v>22</v>
      </c>
      <c r="V44" s="1">
        <v>446645</v>
      </c>
    </row>
    <row r="45" spans="1:22" x14ac:dyDescent="0.25">
      <c r="A45">
        <v>2015</v>
      </c>
      <c r="B45">
        <v>4</v>
      </c>
      <c r="C45" t="s">
        <v>28</v>
      </c>
      <c r="D45" t="s">
        <v>46</v>
      </c>
      <c r="E45" s="1">
        <v>3088043</v>
      </c>
      <c r="F45" s="1">
        <v>2089573</v>
      </c>
      <c r="G45" s="1">
        <v>998006</v>
      </c>
      <c r="H45" s="1">
        <v>464</v>
      </c>
      <c r="I45" s="1">
        <v>616566</v>
      </c>
      <c r="J45" s="1">
        <v>168071</v>
      </c>
      <c r="K45" s="1">
        <v>448495</v>
      </c>
      <c r="L45" s="1">
        <v>2471477</v>
      </c>
      <c r="M45" s="1">
        <v>464</v>
      </c>
      <c r="N45" s="1">
        <v>0</v>
      </c>
      <c r="O45" s="1">
        <v>168001</v>
      </c>
      <c r="P45" s="1">
        <v>117484</v>
      </c>
      <c r="Q45" s="1">
        <v>39160</v>
      </c>
      <c r="R45" s="1">
        <v>11358</v>
      </c>
      <c r="S45" s="1">
        <v>70</v>
      </c>
      <c r="T45" s="1">
        <v>0</v>
      </c>
      <c r="U45" s="1">
        <v>39160</v>
      </c>
      <c r="V45" s="1">
        <v>448030</v>
      </c>
    </row>
    <row r="46" spans="1:22" x14ac:dyDescent="0.25">
      <c r="A46">
        <v>2015</v>
      </c>
      <c r="B46">
        <v>5</v>
      </c>
      <c r="C46" t="s">
        <v>29</v>
      </c>
      <c r="D46" t="s">
        <v>46</v>
      </c>
      <c r="E46" s="1">
        <v>3189651</v>
      </c>
      <c r="F46" s="1">
        <v>2471477</v>
      </c>
      <c r="G46" s="1">
        <v>717684</v>
      </c>
      <c r="H46" s="1">
        <v>489</v>
      </c>
      <c r="I46" s="1">
        <v>599512</v>
      </c>
      <c r="J46" s="1">
        <v>198034</v>
      </c>
      <c r="K46" s="1">
        <v>401478</v>
      </c>
      <c r="L46" s="1">
        <v>2590139</v>
      </c>
      <c r="M46" s="1">
        <v>489</v>
      </c>
      <c r="N46" s="1">
        <v>0</v>
      </c>
      <c r="O46" s="1">
        <v>198032</v>
      </c>
      <c r="P46" s="1">
        <v>157768</v>
      </c>
      <c r="Q46" s="1">
        <v>32082</v>
      </c>
      <c r="R46" s="1">
        <v>8182</v>
      </c>
      <c r="S46" s="1">
        <v>2</v>
      </c>
      <c r="T46" s="1">
        <v>2</v>
      </c>
      <c r="U46" s="1">
        <v>32082</v>
      </c>
      <c r="V46" s="1">
        <v>400989</v>
      </c>
    </row>
    <row r="47" spans="1:22" x14ac:dyDescent="0.25">
      <c r="A47">
        <v>2015</v>
      </c>
      <c r="B47">
        <v>6</v>
      </c>
      <c r="C47" t="s">
        <v>30</v>
      </c>
      <c r="D47" t="s">
        <v>46</v>
      </c>
      <c r="E47" s="1">
        <v>2796715</v>
      </c>
      <c r="F47" s="1">
        <v>2590139</v>
      </c>
      <c r="G47" s="1">
        <v>206105</v>
      </c>
      <c r="H47" s="1">
        <v>472</v>
      </c>
      <c r="I47" s="1">
        <v>560580</v>
      </c>
      <c r="J47" s="1">
        <v>133450</v>
      </c>
      <c r="K47" s="1">
        <v>427130</v>
      </c>
      <c r="L47" s="1">
        <v>2236136</v>
      </c>
      <c r="M47" s="1">
        <v>472</v>
      </c>
      <c r="N47" s="1">
        <v>0</v>
      </c>
      <c r="O47" s="1">
        <v>133443</v>
      </c>
      <c r="P47" s="1">
        <v>121308</v>
      </c>
      <c r="Q47" s="1">
        <v>0</v>
      </c>
      <c r="R47" s="1">
        <v>12134</v>
      </c>
      <c r="S47" s="1">
        <v>7</v>
      </c>
      <c r="T47" s="1">
        <v>7</v>
      </c>
      <c r="U47" s="1">
        <v>0</v>
      </c>
      <c r="V47" s="1">
        <v>426658</v>
      </c>
    </row>
    <row r="48" spans="1:22" x14ac:dyDescent="0.25">
      <c r="A48">
        <v>2015</v>
      </c>
      <c r="B48">
        <v>7</v>
      </c>
      <c r="C48" t="s">
        <v>31</v>
      </c>
      <c r="D48" t="s">
        <v>46</v>
      </c>
      <c r="E48" s="1">
        <v>2252167</v>
      </c>
      <c r="F48" s="1">
        <v>2236136</v>
      </c>
      <c r="G48" s="1">
        <v>14656</v>
      </c>
      <c r="H48" s="1">
        <v>1375</v>
      </c>
      <c r="I48" s="1">
        <v>469180</v>
      </c>
      <c r="J48" s="1">
        <v>204495</v>
      </c>
      <c r="K48" s="1">
        <v>254729</v>
      </c>
      <c r="L48" s="1">
        <v>1782987</v>
      </c>
      <c r="M48" s="1">
        <v>1375</v>
      </c>
      <c r="N48" s="1">
        <v>0</v>
      </c>
      <c r="O48" s="1">
        <v>204483</v>
      </c>
      <c r="P48" s="1">
        <v>204483</v>
      </c>
      <c r="Q48" s="1">
        <v>0</v>
      </c>
      <c r="R48" s="1">
        <v>9956</v>
      </c>
      <c r="S48" s="1">
        <v>12</v>
      </c>
      <c r="T48" s="1">
        <v>12</v>
      </c>
      <c r="U48" s="1">
        <v>0</v>
      </c>
      <c r="V48" s="1">
        <v>252239</v>
      </c>
    </row>
    <row r="49" spans="1:22" x14ac:dyDescent="0.25">
      <c r="A49">
        <v>2015</v>
      </c>
      <c r="B49">
        <v>8</v>
      </c>
      <c r="C49" t="s">
        <v>32</v>
      </c>
      <c r="D49" t="s">
        <v>46</v>
      </c>
      <c r="E49" s="1">
        <v>1783405</v>
      </c>
      <c r="F49" s="1">
        <v>1782987</v>
      </c>
      <c r="G49" s="1">
        <v>0</v>
      </c>
      <c r="H49" s="1">
        <v>418</v>
      </c>
      <c r="I49" s="1">
        <v>512460</v>
      </c>
      <c r="J49" s="1">
        <v>223706</v>
      </c>
      <c r="K49" s="1">
        <v>288754</v>
      </c>
      <c r="L49" s="1">
        <v>1270945</v>
      </c>
      <c r="M49" s="1">
        <v>418</v>
      </c>
      <c r="N49" s="1">
        <v>0</v>
      </c>
      <c r="O49" s="1">
        <v>223705</v>
      </c>
      <c r="P49" s="1">
        <v>212709</v>
      </c>
      <c r="Q49" s="1">
        <v>0</v>
      </c>
      <c r="R49" s="1">
        <v>10996</v>
      </c>
      <c r="S49" s="1">
        <v>1</v>
      </c>
      <c r="T49" s="1">
        <v>0</v>
      </c>
      <c r="U49" s="1">
        <v>1</v>
      </c>
      <c r="V49" s="1">
        <v>288336</v>
      </c>
    </row>
    <row r="50" spans="1:22" x14ac:dyDescent="0.25">
      <c r="A50">
        <v>2015</v>
      </c>
      <c r="B50">
        <v>9</v>
      </c>
      <c r="C50" t="s">
        <v>33</v>
      </c>
      <c r="D50" t="s">
        <v>46</v>
      </c>
      <c r="E50" s="1">
        <v>1271247</v>
      </c>
      <c r="F50" s="1">
        <v>1270945</v>
      </c>
      <c r="G50" s="1">
        <v>0</v>
      </c>
      <c r="H50" s="1">
        <v>302</v>
      </c>
      <c r="I50" s="1">
        <v>460538</v>
      </c>
      <c r="J50" s="1">
        <v>174325</v>
      </c>
      <c r="K50" s="1">
        <v>286213</v>
      </c>
      <c r="L50" s="1">
        <v>810709</v>
      </c>
      <c r="M50" s="1">
        <v>302</v>
      </c>
      <c r="N50" s="1">
        <v>0</v>
      </c>
      <c r="O50" s="1">
        <v>174324.72</v>
      </c>
      <c r="P50" s="1">
        <v>146050</v>
      </c>
      <c r="Q50" s="1">
        <v>0</v>
      </c>
      <c r="R50" s="1">
        <v>28274</v>
      </c>
      <c r="S50" s="1">
        <v>0</v>
      </c>
      <c r="T50" s="1">
        <v>0</v>
      </c>
      <c r="U50" s="1">
        <v>0</v>
      </c>
      <c r="V50" s="1">
        <v>285912</v>
      </c>
    </row>
    <row r="51" spans="1:22" x14ac:dyDescent="0.25">
      <c r="A51">
        <v>2015</v>
      </c>
      <c r="B51">
        <v>10</v>
      </c>
      <c r="C51" t="s">
        <v>22</v>
      </c>
      <c r="D51" t="s">
        <v>46</v>
      </c>
      <c r="E51" s="1">
        <v>811528</v>
      </c>
      <c r="F51" s="1">
        <v>810709</v>
      </c>
      <c r="G51" s="1">
        <v>455</v>
      </c>
      <c r="H51" s="1">
        <v>364</v>
      </c>
      <c r="I51" s="1">
        <v>358402</v>
      </c>
      <c r="J51" s="1">
        <v>30548</v>
      </c>
      <c r="K51" s="1">
        <v>320754</v>
      </c>
      <c r="L51" s="1">
        <v>453126</v>
      </c>
      <c r="M51" s="1">
        <v>364</v>
      </c>
      <c r="N51" s="1">
        <v>0</v>
      </c>
      <c r="O51" s="1">
        <v>37590</v>
      </c>
      <c r="P51" s="1">
        <v>30490</v>
      </c>
      <c r="Q51" s="1">
        <v>0</v>
      </c>
      <c r="R51" s="1">
        <v>7100</v>
      </c>
      <c r="S51" s="1">
        <v>58</v>
      </c>
      <c r="T51" s="1">
        <v>58</v>
      </c>
      <c r="U51" s="1">
        <v>0</v>
      </c>
      <c r="V51" s="1">
        <v>320390</v>
      </c>
    </row>
    <row r="52" spans="1:22" x14ac:dyDescent="0.25">
      <c r="A52">
        <v>2015</v>
      </c>
      <c r="B52">
        <v>11</v>
      </c>
      <c r="C52" t="s">
        <v>23</v>
      </c>
      <c r="D52" t="s">
        <v>46</v>
      </c>
      <c r="E52" s="1">
        <v>636375</v>
      </c>
      <c r="F52" s="1">
        <v>453126</v>
      </c>
      <c r="G52" s="1">
        <v>182862</v>
      </c>
      <c r="H52" s="1">
        <v>387</v>
      </c>
      <c r="I52" s="1">
        <v>328581</v>
      </c>
      <c r="J52" s="1">
        <v>30684</v>
      </c>
      <c r="K52" s="1">
        <v>286560</v>
      </c>
      <c r="L52" s="1">
        <v>307794</v>
      </c>
      <c r="M52" s="1">
        <v>387</v>
      </c>
      <c r="N52" s="1">
        <v>0</v>
      </c>
      <c r="O52" s="1">
        <v>41991</v>
      </c>
      <c r="P52" s="1">
        <v>3655</v>
      </c>
      <c r="Q52" s="1">
        <v>0</v>
      </c>
      <c r="R52" s="1">
        <v>11336</v>
      </c>
      <c r="S52" s="1">
        <v>29</v>
      </c>
      <c r="T52" s="1">
        <v>19</v>
      </c>
      <c r="U52" s="1">
        <v>10</v>
      </c>
      <c r="V52" s="1">
        <v>286176</v>
      </c>
    </row>
    <row r="53" spans="1:22" x14ac:dyDescent="0.25">
      <c r="A53">
        <v>2015</v>
      </c>
      <c r="B53">
        <v>12</v>
      </c>
      <c r="C53" t="s">
        <v>24</v>
      </c>
      <c r="D53" t="s">
        <v>46</v>
      </c>
      <c r="E53" s="1">
        <v>1061158</v>
      </c>
      <c r="F53" s="1">
        <v>307794</v>
      </c>
      <c r="G53" s="1">
        <v>752707</v>
      </c>
      <c r="H53" s="1">
        <v>657</v>
      </c>
      <c r="I53" s="1">
        <v>479945</v>
      </c>
      <c r="J53" s="1">
        <v>64017</v>
      </c>
      <c r="K53" s="1">
        <v>402084</v>
      </c>
      <c r="L53" s="1">
        <v>581213</v>
      </c>
      <c r="M53" s="1">
        <v>657</v>
      </c>
      <c r="N53" s="1">
        <v>0</v>
      </c>
      <c r="O53" s="1">
        <v>77861</v>
      </c>
      <c r="P53" s="1">
        <v>64017</v>
      </c>
      <c r="Q53" s="1">
        <v>0</v>
      </c>
      <c r="R53" s="1">
        <v>13844</v>
      </c>
      <c r="S53" s="1">
        <v>0</v>
      </c>
      <c r="T53" s="1">
        <v>0</v>
      </c>
      <c r="U53" s="1">
        <v>0</v>
      </c>
      <c r="V53" s="1">
        <v>401427</v>
      </c>
    </row>
    <row r="54" spans="1:22" x14ac:dyDescent="0.25">
      <c r="A54">
        <v>2016</v>
      </c>
      <c r="B54">
        <v>1</v>
      </c>
      <c r="C54" t="s">
        <v>25</v>
      </c>
      <c r="D54" t="s">
        <v>46</v>
      </c>
      <c r="E54" s="1">
        <v>1579950</v>
      </c>
      <c r="F54" s="1">
        <v>581213</v>
      </c>
      <c r="G54" s="1">
        <v>998454</v>
      </c>
      <c r="H54" s="1">
        <v>2653</v>
      </c>
      <c r="I54" s="1">
        <v>1043563</v>
      </c>
      <c r="J54" s="1">
        <v>144136</v>
      </c>
      <c r="K54" s="1">
        <v>430879</v>
      </c>
      <c r="L54" s="1">
        <v>998633</v>
      </c>
      <c r="M54" s="1">
        <v>283</v>
      </c>
      <c r="N54" s="1">
        <v>0</v>
      </c>
      <c r="O54" s="1">
        <v>144138</v>
      </c>
      <c r="P54" s="1">
        <v>144136</v>
      </c>
      <c r="Q54" s="1">
        <v>0</v>
      </c>
      <c r="R54" s="1">
        <v>6300</v>
      </c>
      <c r="S54" s="1">
        <v>0</v>
      </c>
      <c r="T54" s="1">
        <v>0</v>
      </c>
      <c r="U54" s="1">
        <v>0</v>
      </c>
      <c r="V54" s="1">
        <v>430596</v>
      </c>
    </row>
    <row r="55" spans="1:22" x14ac:dyDescent="0.25">
      <c r="A55">
        <v>2016</v>
      </c>
      <c r="B55">
        <v>2</v>
      </c>
      <c r="C55" t="s">
        <v>26</v>
      </c>
      <c r="D55" t="s">
        <v>46</v>
      </c>
      <c r="E55" s="1">
        <v>2077827</v>
      </c>
      <c r="F55" s="1">
        <v>998633</v>
      </c>
      <c r="G55" s="1">
        <v>1079194</v>
      </c>
      <c r="H55" s="1">
        <v>0</v>
      </c>
      <c r="I55" s="1">
        <v>426779</v>
      </c>
      <c r="J55" s="1">
        <v>80667</v>
      </c>
      <c r="K55" s="1">
        <v>328280</v>
      </c>
      <c r="L55" s="1">
        <v>1651048</v>
      </c>
      <c r="M55" s="1">
        <v>0</v>
      </c>
      <c r="N55" s="1">
        <v>0</v>
      </c>
      <c r="O55" s="1">
        <v>80667</v>
      </c>
      <c r="P55" s="1">
        <v>80667</v>
      </c>
      <c r="Q55" s="1">
        <v>0</v>
      </c>
      <c r="R55" s="1">
        <v>17832</v>
      </c>
      <c r="S55" s="1">
        <v>0</v>
      </c>
      <c r="T55" s="1">
        <v>0</v>
      </c>
      <c r="U55" s="1">
        <v>0</v>
      </c>
      <c r="V55" s="1">
        <v>328280</v>
      </c>
    </row>
    <row r="56" spans="1:22" x14ac:dyDescent="0.25">
      <c r="A56">
        <v>2016</v>
      </c>
      <c r="B56">
        <v>3</v>
      </c>
      <c r="C56" t="s">
        <v>27</v>
      </c>
      <c r="D56" t="s">
        <v>46</v>
      </c>
      <c r="E56" s="1">
        <v>2819812</v>
      </c>
      <c r="F56" s="1">
        <v>1651048</v>
      </c>
      <c r="G56" s="1">
        <v>1166112</v>
      </c>
      <c r="H56" s="1">
        <v>2653</v>
      </c>
      <c r="I56" s="1">
        <v>622317</v>
      </c>
      <c r="J56" s="1">
        <v>113331</v>
      </c>
      <c r="K56" s="1">
        <v>489962</v>
      </c>
      <c r="L56" s="1">
        <v>2197496</v>
      </c>
      <c r="M56" s="1">
        <v>2653</v>
      </c>
      <c r="N56" s="1">
        <v>0</v>
      </c>
      <c r="O56" s="1">
        <v>113330</v>
      </c>
      <c r="P56" s="1">
        <v>113330</v>
      </c>
      <c r="Q56" s="1">
        <v>1</v>
      </c>
      <c r="R56" s="1">
        <v>19024</v>
      </c>
      <c r="S56" s="1">
        <v>1</v>
      </c>
      <c r="T56" s="1">
        <v>0</v>
      </c>
      <c r="U56" s="1">
        <v>1</v>
      </c>
      <c r="V56" s="1">
        <v>487309</v>
      </c>
    </row>
    <row r="57" spans="1:22" x14ac:dyDescent="0.25">
      <c r="A57">
        <v>2016</v>
      </c>
      <c r="B57">
        <v>4</v>
      </c>
      <c r="C57" t="s">
        <v>28</v>
      </c>
      <c r="D57" t="s">
        <v>46</v>
      </c>
      <c r="E57" s="1">
        <v>3288032</v>
      </c>
      <c r="F57" s="1">
        <v>2197496</v>
      </c>
      <c r="G57" s="1">
        <v>1084918</v>
      </c>
      <c r="H57" s="1">
        <v>5618</v>
      </c>
      <c r="I57" s="1">
        <v>641829</v>
      </c>
      <c r="J57" s="1">
        <v>142448</v>
      </c>
      <c r="K57" s="1">
        <v>497382</v>
      </c>
      <c r="L57" s="1">
        <v>2646203</v>
      </c>
      <c r="M57" s="1">
        <v>56218</v>
      </c>
      <c r="N57" s="1">
        <v>0</v>
      </c>
      <c r="O57" s="1">
        <v>142428</v>
      </c>
      <c r="P57" s="1">
        <v>142428</v>
      </c>
      <c r="Q57" s="1">
        <v>0</v>
      </c>
      <c r="R57" s="1">
        <v>19553</v>
      </c>
      <c r="S57" s="1">
        <v>20</v>
      </c>
      <c r="T57" s="1">
        <v>0</v>
      </c>
      <c r="U57" s="1">
        <v>20</v>
      </c>
      <c r="V57" s="1">
        <v>474211</v>
      </c>
    </row>
    <row r="58" spans="1:22" x14ac:dyDescent="0.25">
      <c r="A58">
        <v>2016</v>
      </c>
      <c r="B58">
        <v>5</v>
      </c>
      <c r="C58" t="s">
        <v>29</v>
      </c>
      <c r="D58" t="s">
        <v>46</v>
      </c>
      <c r="E58" s="1">
        <v>3347709</v>
      </c>
      <c r="F58" s="1">
        <v>2646203</v>
      </c>
      <c r="G58" s="1">
        <v>701105</v>
      </c>
      <c r="H58" s="1">
        <v>402</v>
      </c>
      <c r="I58" s="1">
        <v>528234</v>
      </c>
      <c r="J58" s="1">
        <v>71339</v>
      </c>
      <c r="K58" s="1">
        <v>430435</v>
      </c>
      <c r="L58" s="1">
        <v>2819475</v>
      </c>
      <c r="M58" s="1">
        <v>402</v>
      </c>
      <c r="N58" s="1">
        <v>0</v>
      </c>
      <c r="O58" s="1">
        <v>71319</v>
      </c>
      <c r="P58" s="1">
        <v>71319</v>
      </c>
      <c r="Q58" s="1">
        <v>0</v>
      </c>
      <c r="R58" s="1">
        <v>26460</v>
      </c>
      <c r="S58" s="1">
        <v>20</v>
      </c>
      <c r="T58" s="1">
        <v>0</v>
      </c>
      <c r="U58" s="1">
        <v>20</v>
      </c>
      <c r="V58" s="1">
        <v>430033</v>
      </c>
    </row>
    <row r="59" spans="1:22" x14ac:dyDescent="0.25">
      <c r="A59">
        <v>2016</v>
      </c>
      <c r="B59">
        <v>6</v>
      </c>
      <c r="C59" t="s">
        <v>30</v>
      </c>
      <c r="D59" t="s">
        <v>46</v>
      </c>
      <c r="E59" s="1">
        <v>2964181</v>
      </c>
      <c r="F59" s="1">
        <v>2819475</v>
      </c>
      <c r="G59" s="1">
        <v>144181</v>
      </c>
      <c r="H59" s="1">
        <v>525</v>
      </c>
      <c r="I59" s="1">
        <v>537831</v>
      </c>
      <c r="J59" s="1">
        <v>172978</v>
      </c>
      <c r="K59" s="1">
        <v>335552</v>
      </c>
      <c r="L59" s="1">
        <v>2426351</v>
      </c>
      <c r="M59" s="1">
        <v>525</v>
      </c>
      <c r="N59" s="1">
        <v>0</v>
      </c>
      <c r="O59" s="1">
        <v>172957</v>
      </c>
      <c r="P59" s="1">
        <v>172707</v>
      </c>
      <c r="Q59" s="1">
        <v>250</v>
      </c>
      <c r="R59" s="1">
        <v>29301</v>
      </c>
      <c r="S59" s="1">
        <v>21</v>
      </c>
      <c r="T59" s="1">
        <v>0.1</v>
      </c>
      <c r="U59" s="1">
        <v>21</v>
      </c>
      <c r="V59" s="1">
        <v>335027</v>
      </c>
    </row>
    <row r="60" spans="1:22" x14ac:dyDescent="0.25">
      <c r="A60">
        <v>2016</v>
      </c>
      <c r="B60">
        <v>7</v>
      </c>
      <c r="C60" t="s">
        <v>31</v>
      </c>
      <c r="D60" t="s">
        <v>46</v>
      </c>
      <c r="E60" s="1">
        <v>2430026</v>
      </c>
      <c r="F60" s="1">
        <v>2426351</v>
      </c>
      <c r="G60" s="1">
        <v>3166</v>
      </c>
      <c r="H60" s="1">
        <v>510</v>
      </c>
      <c r="I60" s="1">
        <v>471918</v>
      </c>
      <c r="J60" s="1">
        <v>126929</v>
      </c>
      <c r="K60" s="1">
        <v>311557</v>
      </c>
      <c r="L60" s="1">
        <v>1958108</v>
      </c>
      <c r="M60" s="1">
        <v>510</v>
      </c>
      <c r="N60" s="1">
        <v>0</v>
      </c>
      <c r="O60" s="1">
        <v>126923</v>
      </c>
      <c r="P60" s="1">
        <v>95903</v>
      </c>
      <c r="Q60" s="1">
        <v>31020</v>
      </c>
      <c r="R60" s="1">
        <v>33432</v>
      </c>
      <c r="S60" s="1">
        <v>6</v>
      </c>
      <c r="T60" s="1">
        <v>0</v>
      </c>
      <c r="U60" s="1">
        <v>6</v>
      </c>
      <c r="V60" s="1">
        <v>311047</v>
      </c>
    </row>
    <row r="61" spans="1:22" x14ac:dyDescent="0.25">
      <c r="A61">
        <v>2016</v>
      </c>
      <c r="B61">
        <v>8</v>
      </c>
      <c r="C61" t="s">
        <v>32</v>
      </c>
      <c r="D61" t="s">
        <v>46</v>
      </c>
      <c r="E61" s="1">
        <v>1959306.5830000001</v>
      </c>
      <c r="F61" s="1">
        <v>1958108.301</v>
      </c>
      <c r="G61" s="1">
        <v>0</v>
      </c>
      <c r="H61" s="1">
        <v>1198</v>
      </c>
      <c r="I61" s="1">
        <v>525952</v>
      </c>
      <c r="J61" s="1">
        <v>99662</v>
      </c>
      <c r="K61" s="1">
        <v>391468</v>
      </c>
      <c r="L61" s="1">
        <v>1433335</v>
      </c>
      <c r="M61" s="1">
        <v>1198</v>
      </c>
      <c r="N61" s="1">
        <v>0</v>
      </c>
      <c r="O61" s="1">
        <v>99662</v>
      </c>
      <c r="P61" s="1">
        <v>89416.360220000002</v>
      </c>
      <c r="Q61" s="1">
        <v>10246</v>
      </c>
      <c r="R61" s="1">
        <v>34822</v>
      </c>
      <c r="S61" s="1">
        <v>0</v>
      </c>
      <c r="T61" s="1">
        <v>0</v>
      </c>
      <c r="U61" s="1">
        <v>0</v>
      </c>
      <c r="V61" s="1">
        <v>390270</v>
      </c>
    </row>
    <row r="62" spans="1:22" x14ac:dyDescent="0.25">
      <c r="A62">
        <v>2016</v>
      </c>
      <c r="B62">
        <v>9</v>
      </c>
      <c r="C62" t="s">
        <v>33</v>
      </c>
      <c r="D62" t="s">
        <v>46</v>
      </c>
      <c r="E62" s="1">
        <v>1437584</v>
      </c>
      <c r="F62" s="1">
        <v>1433355</v>
      </c>
      <c r="G62" s="1">
        <v>0</v>
      </c>
      <c r="H62" s="1">
        <v>4229</v>
      </c>
      <c r="I62" s="1">
        <v>400620</v>
      </c>
      <c r="J62" s="1">
        <v>143147</v>
      </c>
      <c r="K62" s="1">
        <v>207838</v>
      </c>
      <c r="L62" s="1">
        <v>1036963.485</v>
      </c>
      <c r="M62" s="1">
        <v>4229</v>
      </c>
      <c r="N62" s="1">
        <v>0</v>
      </c>
      <c r="O62" s="1">
        <v>142925</v>
      </c>
      <c r="P62" s="1">
        <v>98376</v>
      </c>
      <c r="Q62" s="1">
        <v>44459</v>
      </c>
      <c r="R62" s="1">
        <v>49635</v>
      </c>
      <c r="S62" s="1">
        <v>222</v>
      </c>
      <c r="T62" s="1">
        <v>222</v>
      </c>
      <c r="U62" s="1">
        <v>0</v>
      </c>
      <c r="V62" s="1">
        <v>203609</v>
      </c>
    </row>
    <row r="63" spans="1:22" x14ac:dyDescent="0.25">
      <c r="A63">
        <v>2016</v>
      </c>
      <c r="B63">
        <v>10</v>
      </c>
      <c r="C63" t="s">
        <v>22</v>
      </c>
      <c r="D63" t="s">
        <v>46</v>
      </c>
      <c r="E63" s="1">
        <v>1042052.362</v>
      </c>
      <c r="F63" s="1">
        <v>1036963.485</v>
      </c>
      <c r="G63" s="1">
        <v>0</v>
      </c>
      <c r="H63" s="1">
        <v>5088.8774110000004</v>
      </c>
      <c r="I63" s="1">
        <v>409299.61540000001</v>
      </c>
      <c r="J63" s="1">
        <v>66191.965760000006</v>
      </c>
      <c r="K63" s="1">
        <v>343107.64970000001</v>
      </c>
      <c r="L63" s="1">
        <v>632772.02500000002</v>
      </c>
      <c r="M63" s="1">
        <v>5088.8774110000004</v>
      </c>
      <c r="N63" s="1">
        <v>0</v>
      </c>
      <c r="O63" s="1">
        <v>46405.220410000002</v>
      </c>
      <c r="P63" s="1">
        <v>44257.016409999997</v>
      </c>
      <c r="Q63" s="1">
        <v>2148.2040000000002</v>
      </c>
      <c r="R63" s="1">
        <v>19767.452850000001</v>
      </c>
      <c r="S63" s="1">
        <v>19.2925</v>
      </c>
      <c r="T63" s="1">
        <v>19.277999999999999</v>
      </c>
      <c r="U63" s="1">
        <v>1.4500000000000001E-2</v>
      </c>
      <c r="V63" s="1">
        <v>338018.77220000001</v>
      </c>
    </row>
    <row r="64" spans="1:22" x14ac:dyDescent="0.25">
      <c r="A64">
        <v>2016</v>
      </c>
      <c r="B64">
        <v>11</v>
      </c>
      <c r="C64" t="s">
        <v>23</v>
      </c>
      <c r="D64" t="s">
        <v>46</v>
      </c>
      <c r="E64" s="1">
        <v>814519.69990000001</v>
      </c>
      <c r="F64" s="1">
        <v>632772.02500000002</v>
      </c>
      <c r="G64" s="1">
        <v>178503.0851</v>
      </c>
      <c r="H64" s="1">
        <v>3244.5898000000002</v>
      </c>
      <c r="I64" s="1">
        <v>415909.53690000001</v>
      </c>
      <c r="J64" s="1">
        <v>57127.848789999996</v>
      </c>
      <c r="K64" s="1">
        <v>358781.68819999998</v>
      </c>
      <c r="L64" s="1">
        <v>399002.31300000002</v>
      </c>
      <c r="M64" s="1">
        <v>3244.5898000000002</v>
      </c>
      <c r="N64" s="1">
        <v>0</v>
      </c>
      <c r="O64" s="1">
        <v>36062.56581</v>
      </c>
      <c r="P64" s="1">
        <v>30345.01181</v>
      </c>
      <c r="Q64" s="1">
        <v>5717.5540000000001</v>
      </c>
      <c r="R64" s="1">
        <v>20002.004980000002</v>
      </c>
      <c r="S64" s="1">
        <v>1063.278</v>
      </c>
      <c r="T64" s="1">
        <v>392.15</v>
      </c>
      <c r="U64" s="1">
        <v>671.12800000000004</v>
      </c>
      <c r="V64" s="1">
        <v>355537.09840000002</v>
      </c>
    </row>
    <row r="65" spans="1:22" x14ac:dyDescent="0.25">
      <c r="A65">
        <v>2016</v>
      </c>
      <c r="B65">
        <v>12</v>
      </c>
      <c r="C65" t="s">
        <v>24</v>
      </c>
      <c r="D65" t="s">
        <v>46</v>
      </c>
      <c r="E65" s="1">
        <v>1133643.584</v>
      </c>
      <c r="F65" s="1">
        <v>399002.31300000002</v>
      </c>
      <c r="G65" s="1">
        <v>733418.71990000003</v>
      </c>
      <c r="H65" s="1">
        <v>1222.5514149999999</v>
      </c>
      <c r="I65" s="1">
        <v>499426.58840000001</v>
      </c>
      <c r="J65" s="1">
        <v>101262.9525</v>
      </c>
      <c r="K65" s="1">
        <v>398163.63589999999</v>
      </c>
      <c r="L65" s="1">
        <v>635186.15800000005</v>
      </c>
      <c r="M65" s="1">
        <v>1222.5514149999999</v>
      </c>
      <c r="N65" s="1">
        <v>0</v>
      </c>
      <c r="O65" s="1">
        <v>75122.691829999996</v>
      </c>
      <c r="P65" s="1">
        <v>73205.691829999996</v>
      </c>
      <c r="Q65" s="1">
        <v>1917</v>
      </c>
      <c r="R65" s="1">
        <v>24125.585500000001</v>
      </c>
      <c r="S65" s="1">
        <v>2014.67516</v>
      </c>
      <c r="T65" s="1">
        <v>969.16215999999997</v>
      </c>
      <c r="U65" s="1">
        <v>1045.5129999999999</v>
      </c>
      <c r="V65" s="1">
        <v>396941.0845</v>
      </c>
    </row>
    <row r="66" spans="1:22" x14ac:dyDescent="0.25">
      <c r="A66">
        <v>2017</v>
      </c>
      <c r="B66">
        <v>1</v>
      </c>
      <c r="C66" t="s">
        <v>25</v>
      </c>
      <c r="D66" t="s">
        <v>46</v>
      </c>
      <c r="E66" s="1">
        <v>1712457.6910000001</v>
      </c>
      <c r="F66" s="1">
        <v>635186.15800000005</v>
      </c>
      <c r="G66" s="1">
        <v>1074828.821</v>
      </c>
      <c r="H66" s="1">
        <v>2442.7121109999998</v>
      </c>
      <c r="I66" s="1">
        <v>567516.272</v>
      </c>
      <c r="J66" s="1">
        <v>154433.04889999999</v>
      </c>
      <c r="K66" s="1">
        <v>413083.223</v>
      </c>
      <c r="L66" s="1">
        <v>1145217.291</v>
      </c>
      <c r="M66" s="1">
        <v>2442.7121109999998</v>
      </c>
      <c r="N66" s="1">
        <v>0</v>
      </c>
      <c r="O66" s="1">
        <v>132445.24590000001</v>
      </c>
      <c r="P66" s="1">
        <v>123866.6079</v>
      </c>
      <c r="Q66" s="1">
        <v>8578.6380000000008</v>
      </c>
      <c r="R66" s="1">
        <v>20275.347600000001</v>
      </c>
      <c r="S66" s="1">
        <v>1712.4555</v>
      </c>
      <c r="T66" s="1">
        <v>275.87200000000001</v>
      </c>
      <c r="U66" s="1">
        <v>1436.5835</v>
      </c>
      <c r="V66" s="1">
        <v>410640.51089999999</v>
      </c>
    </row>
    <row r="67" spans="1:22" x14ac:dyDescent="0.25">
      <c r="A67">
        <v>2017</v>
      </c>
      <c r="B67">
        <v>2</v>
      </c>
      <c r="C67" t="s">
        <v>26</v>
      </c>
      <c r="D67" t="s">
        <v>46</v>
      </c>
      <c r="E67" s="1">
        <v>2189692.2769999998</v>
      </c>
      <c r="F67" s="1">
        <v>1145217.291</v>
      </c>
      <c r="G67" s="1">
        <v>1042258.416</v>
      </c>
      <c r="H67" s="1">
        <v>2216.5700999999999</v>
      </c>
      <c r="I67" s="1">
        <v>467552.97129999998</v>
      </c>
      <c r="J67" s="1">
        <v>117180.9354</v>
      </c>
      <c r="K67" s="1">
        <v>350372.03590000002</v>
      </c>
      <c r="L67" s="1">
        <v>1705951.3060000001</v>
      </c>
      <c r="M67" s="1">
        <v>2216.5700999999999</v>
      </c>
      <c r="N67" s="1">
        <v>0</v>
      </c>
      <c r="O67" s="1">
        <v>100751.31690000001</v>
      </c>
      <c r="P67" s="1">
        <v>97563.462889999995</v>
      </c>
      <c r="Q67" s="1">
        <v>3187.8539999999998</v>
      </c>
      <c r="R67" s="1">
        <v>14956</v>
      </c>
      <c r="S67" s="1">
        <v>1473.6185</v>
      </c>
      <c r="T67" s="1">
        <v>320</v>
      </c>
      <c r="U67" s="1">
        <v>1153.6185</v>
      </c>
      <c r="V67" s="1">
        <v>348155.46580000001</v>
      </c>
    </row>
    <row r="68" spans="1:22" x14ac:dyDescent="0.25">
      <c r="A68">
        <v>2017</v>
      </c>
      <c r="B68">
        <v>3</v>
      </c>
      <c r="C68" t="s">
        <v>27</v>
      </c>
      <c r="D68" t="s">
        <v>46</v>
      </c>
      <c r="E68" s="1">
        <v>2915172.1120000002</v>
      </c>
      <c r="F68" s="1">
        <v>1705951.3060000001</v>
      </c>
      <c r="G68" s="1">
        <v>1205962.5959999999</v>
      </c>
      <c r="H68" s="1">
        <v>3258.210869</v>
      </c>
      <c r="I68" s="1">
        <v>590783.05099999998</v>
      </c>
      <c r="J68" s="1">
        <v>105218.2144</v>
      </c>
      <c r="K68" s="1">
        <v>485564.83659999998</v>
      </c>
      <c r="L68" s="1">
        <v>2324546.3089999999</v>
      </c>
      <c r="M68" s="1">
        <v>3258.210869</v>
      </c>
      <c r="N68" s="1">
        <v>0</v>
      </c>
      <c r="O68" s="1">
        <v>77208.938869999998</v>
      </c>
      <c r="P68" s="1">
        <v>23409.584869999999</v>
      </c>
      <c r="Q68" s="1">
        <v>53799.353999999999</v>
      </c>
      <c r="R68" s="1">
        <v>27852.009559999999</v>
      </c>
      <c r="S68" s="1">
        <v>157.26599999999999</v>
      </c>
      <c r="T68" s="1">
        <v>157.24799999999999</v>
      </c>
      <c r="U68" s="1">
        <v>1.7999999999999999E-2</v>
      </c>
      <c r="V68" s="1">
        <v>482306.62569999998</v>
      </c>
    </row>
    <row r="69" spans="1:22" x14ac:dyDescent="0.25">
      <c r="A69">
        <v>2017</v>
      </c>
      <c r="B69">
        <v>4</v>
      </c>
      <c r="C69" t="s">
        <v>28</v>
      </c>
      <c r="D69" t="s">
        <v>46</v>
      </c>
      <c r="E69" s="1">
        <v>3370472.733</v>
      </c>
      <c r="F69" s="1">
        <v>2324546.3089999999</v>
      </c>
      <c r="G69" s="1">
        <v>1043937.223</v>
      </c>
      <c r="H69" s="1">
        <v>1989.2011030000001</v>
      </c>
      <c r="I69" s="1">
        <v>592100.15370000002</v>
      </c>
      <c r="J69" s="1">
        <v>231322.4161</v>
      </c>
      <c r="K69" s="1">
        <v>360777.73749999999</v>
      </c>
      <c r="L69" s="1">
        <v>2778432.5789999999</v>
      </c>
      <c r="M69" s="1">
        <v>1989.2011030000001</v>
      </c>
      <c r="N69" s="1">
        <v>0</v>
      </c>
      <c r="O69" s="1">
        <v>205450.40820000001</v>
      </c>
      <c r="P69" s="1">
        <v>200289.81520000001</v>
      </c>
      <c r="Q69" s="1">
        <v>5160.5929999999998</v>
      </c>
      <c r="R69" s="1">
        <v>25728.455900000001</v>
      </c>
      <c r="S69" s="1">
        <v>143.55199999999999</v>
      </c>
      <c r="T69" s="1">
        <v>60</v>
      </c>
      <c r="U69" s="1">
        <v>83.552000000000007</v>
      </c>
      <c r="V69" s="1">
        <v>358788.53639999998</v>
      </c>
    </row>
    <row r="70" spans="1:22" x14ac:dyDescent="0.25">
      <c r="A70">
        <v>2017</v>
      </c>
      <c r="B70">
        <v>5</v>
      </c>
      <c r="C70" t="s">
        <v>29</v>
      </c>
      <c r="D70" t="s">
        <v>46</v>
      </c>
      <c r="E70" s="1">
        <v>3357559.3560000001</v>
      </c>
      <c r="F70" s="1">
        <v>2778432.5789999999</v>
      </c>
      <c r="G70" s="1">
        <v>576434.81960000005</v>
      </c>
      <c r="H70" s="1">
        <v>2691.9575599999998</v>
      </c>
      <c r="I70" s="1">
        <v>680623.80409999995</v>
      </c>
      <c r="J70" s="1">
        <v>228633.655</v>
      </c>
      <c r="K70" s="1">
        <v>451990.14919999999</v>
      </c>
      <c r="L70" s="1">
        <v>2677095.5520000001</v>
      </c>
      <c r="M70" s="1">
        <v>2691.9575599999998</v>
      </c>
      <c r="N70" s="1">
        <v>0</v>
      </c>
      <c r="O70" s="1">
        <v>194596.74309999999</v>
      </c>
      <c r="P70" s="1">
        <v>145985.34109999999</v>
      </c>
      <c r="Q70" s="1">
        <v>48611.402000000002</v>
      </c>
      <c r="R70" s="1">
        <v>33020.05328</v>
      </c>
      <c r="S70" s="1">
        <v>1016.8586</v>
      </c>
      <c r="T70" s="1">
        <v>160</v>
      </c>
      <c r="U70" s="1">
        <v>856.85860000000002</v>
      </c>
      <c r="V70" s="1">
        <v>449298.19160000002</v>
      </c>
    </row>
    <row r="71" spans="1:22" x14ac:dyDescent="0.25">
      <c r="A71">
        <v>2017</v>
      </c>
      <c r="B71">
        <v>6</v>
      </c>
      <c r="C71" t="s">
        <v>30</v>
      </c>
      <c r="D71" t="s">
        <v>46</v>
      </c>
      <c r="E71" s="1">
        <v>2779335.9909999999</v>
      </c>
      <c r="F71" s="1">
        <v>2677095.5520000001</v>
      </c>
      <c r="G71" s="1">
        <v>98879.117710000006</v>
      </c>
      <c r="H71" s="1">
        <v>3361.3210549999999</v>
      </c>
      <c r="I71" s="1">
        <v>434649.88079999998</v>
      </c>
      <c r="J71" s="1">
        <v>81676.405329999994</v>
      </c>
      <c r="K71" s="1">
        <v>352973.4754</v>
      </c>
      <c r="L71" s="1">
        <v>2344705.94</v>
      </c>
      <c r="M71" s="1">
        <v>3361.3210549999999</v>
      </c>
      <c r="N71" s="1">
        <v>0</v>
      </c>
      <c r="O71" s="1">
        <v>53191.71327</v>
      </c>
      <c r="P71" s="1">
        <v>30125.241269999999</v>
      </c>
      <c r="Q71" s="1">
        <v>23066.472000000002</v>
      </c>
      <c r="R71" s="1">
        <v>27455.40236</v>
      </c>
      <c r="S71" s="1">
        <v>1029.2897</v>
      </c>
      <c r="T71" s="1">
        <v>19.829999999999998</v>
      </c>
      <c r="U71" s="1">
        <v>1009.4597</v>
      </c>
      <c r="V71" s="1">
        <v>349612.1544</v>
      </c>
    </row>
    <row r="72" spans="1:22" x14ac:dyDescent="0.25">
      <c r="A72">
        <v>2017</v>
      </c>
      <c r="B72">
        <v>7</v>
      </c>
      <c r="C72" t="s">
        <v>31</v>
      </c>
      <c r="D72" t="s">
        <v>46</v>
      </c>
      <c r="E72" s="1">
        <v>2354442.2220000001</v>
      </c>
      <c r="F72" s="1">
        <v>2344705.94</v>
      </c>
      <c r="G72" s="1">
        <v>2947.4</v>
      </c>
      <c r="H72" s="1">
        <v>6788.8818680000004</v>
      </c>
      <c r="I72" s="1">
        <v>427600.3579</v>
      </c>
      <c r="J72" s="1">
        <v>97747.030029999994</v>
      </c>
      <c r="K72" s="1">
        <v>329853.32780000003</v>
      </c>
      <c r="L72" s="1">
        <v>1926980.4879999999</v>
      </c>
      <c r="M72" s="1">
        <v>6788.8818680000004</v>
      </c>
      <c r="N72" s="1">
        <v>0</v>
      </c>
      <c r="O72" s="1">
        <v>65539.064809999996</v>
      </c>
      <c r="P72" s="1">
        <v>63116.812810000003</v>
      </c>
      <c r="Q72" s="1">
        <v>2422.252</v>
      </c>
      <c r="R72" s="1">
        <v>30831.79722</v>
      </c>
      <c r="S72" s="1">
        <v>1376.1679999999999</v>
      </c>
      <c r="T72" s="1">
        <v>138.624</v>
      </c>
      <c r="U72" s="1">
        <v>1237.5440000000001</v>
      </c>
      <c r="V72" s="1">
        <v>323064.446</v>
      </c>
    </row>
    <row r="73" spans="1:22" x14ac:dyDescent="0.25">
      <c r="A73">
        <v>2017</v>
      </c>
      <c r="B73">
        <v>8</v>
      </c>
      <c r="C73" t="s">
        <v>32</v>
      </c>
      <c r="D73" t="s">
        <v>46</v>
      </c>
      <c r="E73" s="1">
        <v>1937395.74</v>
      </c>
      <c r="F73" s="1">
        <v>1926980.4879999999</v>
      </c>
      <c r="G73" s="1">
        <v>0</v>
      </c>
      <c r="H73" s="1">
        <v>10415.252</v>
      </c>
      <c r="I73" s="1">
        <v>533241.73300000001</v>
      </c>
      <c r="J73" s="1">
        <v>94913.481</v>
      </c>
      <c r="K73" s="1">
        <v>438328.25199999998</v>
      </c>
      <c r="L73" s="1">
        <v>1404213.047</v>
      </c>
      <c r="M73" s="1">
        <v>10415.252</v>
      </c>
      <c r="N73" s="1">
        <v>0</v>
      </c>
      <c r="O73" s="1">
        <v>42656.758999999998</v>
      </c>
      <c r="P73" s="1">
        <v>42356.586000000003</v>
      </c>
      <c r="Q73" s="1">
        <v>300.173</v>
      </c>
      <c r="R73" s="1">
        <v>50288.21</v>
      </c>
      <c r="S73" s="1">
        <v>1968.5119999999999</v>
      </c>
      <c r="T73" s="1">
        <v>59.04</v>
      </c>
      <c r="U73" s="1">
        <v>1909.472</v>
      </c>
      <c r="V73" s="1">
        <v>427913</v>
      </c>
    </row>
    <row r="74" spans="1:22" x14ac:dyDescent="0.25">
      <c r="A74">
        <v>2017</v>
      </c>
      <c r="B74">
        <v>9</v>
      </c>
      <c r="C74" t="s">
        <v>33</v>
      </c>
      <c r="D74" t="s">
        <v>46</v>
      </c>
      <c r="E74" s="1">
        <v>1409882.504</v>
      </c>
      <c r="F74" s="1">
        <v>1404213.047</v>
      </c>
      <c r="G74" s="1">
        <v>0</v>
      </c>
      <c r="H74" s="1">
        <v>5669.4566640000003</v>
      </c>
      <c r="I74" s="1">
        <v>407824.97989999998</v>
      </c>
      <c r="J74" s="1">
        <v>175578.77350000001</v>
      </c>
      <c r="K74" s="1">
        <v>232246.2064</v>
      </c>
      <c r="L74" s="1">
        <v>1002342.02</v>
      </c>
      <c r="M74" s="1">
        <v>5669.4566640000003</v>
      </c>
      <c r="N74" s="1">
        <v>0</v>
      </c>
      <c r="O74" s="1">
        <v>141291.36850000001</v>
      </c>
      <c r="P74" s="1">
        <v>141226.73050000001</v>
      </c>
      <c r="Q74" s="1">
        <v>64.638000000000005</v>
      </c>
      <c r="R74" s="1">
        <v>32172.503000000001</v>
      </c>
      <c r="S74" s="1">
        <v>2114.902</v>
      </c>
      <c r="T74" s="1">
        <v>284.49599999999998</v>
      </c>
      <c r="U74" s="1">
        <v>1830.4059999999999</v>
      </c>
      <c r="V74" s="1">
        <v>226576.74969999999</v>
      </c>
    </row>
    <row r="75" spans="1:22" x14ac:dyDescent="0.25">
      <c r="A75">
        <v>2017</v>
      </c>
      <c r="B75">
        <v>10</v>
      </c>
      <c r="C75" t="s">
        <v>22</v>
      </c>
      <c r="D75" t="s">
        <v>46</v>
      </c>
      <c r="E75" s="1">
        <v>1032695.706</v>
      </c>
      <c r="F75" s="1">
        <v>1002342.02</v>
      </c>
      <c r="G75" s="1">
        <v>0</v>
      </c>
      <c r="H75" s="1">
        <v>30353.686259999999</v>
      </c>
      <c r="I75" s="1">
        <v>372761.82809999998</v>
      </c>
      <c r="J75" s="1">
        <v>32323.7359</v>
      </c>
      <c r="K75" s="1">
        <v>340438.09220000001</v>
      </c>
      <c r="L75" s="1">
        <v>659933.87800000003</v>
      </c>
      <c r="M75" s="1">
        <v>30353.686259999999</v>
      </c>
      <c r="N75" s="1">
        <v>0</v>
      </c>
      <c r="O75" s="1">
        <v>9150.6070209999998</v>
      </c>
      <c r="P75" s="1">
        <v>9150.6070209999998</v>
      </c>
      <c r="Q75" s="1">
        <v>0</v>
      </c>
      <c r="R75" s="1">
        <v>22842.93088</v>
      </c>
      <c r="S75" s="1">
        <v>330.19799999999998</v>
      </c>
      <c r="T75" s="1">
        <v>316.27600000000001</v>
      </c>
      <c r="U75" s="1">
        <v>13.922000000000001</v>
      </c>
      <c r="V75" s="1">
        <v>310084.40590000001</v>
      </c>
    </row>
    <row r="76" spans="1:22" x14ac:dyDescent="0.25">
      <c r="A76">
        <v>2017</v>
      </c>
      <c r="B76">
        <v>11</v>
      </c>
      <c r="C76" t="s">
        <v>23</v>
      </c>
      <c r="D76" t="s">
        <v>46</v>
      </c>
      <c r="E76" s="1">
        <v>828090.65919999999</v>
      </c>
      <c r="F76" s="1">
        <v>659933.87800000003</v>
      </c>
      <c r="G76" s="1">
        <v>162960.03099999999</v>
      </c>
      <c r="H76" s="1">
        <v>5196.7502119999999</v>
      </c>
      <c r="I76" s="1">
        <v>355439.47720000002</v>
      </c>
      <c r="J76" s="1">
        <v>42432.919560000002</v>
      </c>
      <c r="K76" s="1">
        <v>313006.5577</v>
      </c>
      <c r="L76" s="1">
        <v>472671.18199999997</v>
      </c>
      <c r="M76" s="1">
        <v>5196.7502119999999</v>
      </c>
      <c r="N76" s="1">
        <v>0</v>
      </c>
      <c r="O76" s="1">
        <v>18472.720539999998</v>
      </c>
      <c r="P76" s="1">
        <v>18237.528539999999</v>
      </c>
      <c r="Q76" s="1">
        <v>235.19200000000001</v>
      </c>
      <c r="R76" s="1">
        <v>23343.356029999999</v>
      </c>
      <c r="S76" s="1">
        <v>616.84299999999996</v>
      </c>
      <c r="T76" s="1">
        <v>496.64600000000002</v>
      </c>
      <c r="U76" s="1">
        <v>120.197</v>
      </c>
      <c r="V76" s="1">
        <v>307809.80739999999</v>
      </c>
    </row>
    <row r="77" spans="1:22" x14ac:dyDescent="0.25">
      <c r="A77">
        <v>2017</v>
      </c>
      <c r="B77">
        <v>12</v>
      </c>
      <c r="C77" t="s">
        <v>24</v>
      </c>
      <c r="D77" t="s">
        <v>46</v>
      </c>
      <c r="E77" s="1">
        <v>1319450.0959999999</v>
      </c>
      <c r="F77" s="1">
        <v>472671.18199999997</v>
      </c>
      <c r="G77" s="1">
        <v>843562.57</v>
      </c>
      <c r="H77" s="1">
        <v>3216.3437490000001</v>
      </c>
      <c r="I77" s="1">
        <v>439683.50469999999</v>
      </c>
      <c r="J77" s="1">
        <v>74042.697379999998</v>
      </c>
      <c r="K77" s="1">
        <v>365640.80739999999</v>
      </c>
      <c r="L77" s="1">
        <v>880300.96799999999</v>
      </c>
      <c r="M77" s="1">
        <v>3216.3437490000001</v>
      </c>
      <c r="N77" s="1">
        <v>0</v>
      </c>
      <c r="O77" s="1">
        <v>45988.821479999999</v>
      </c>
      <c r="P77" s="1">
        <v>45738.267480000002</v>
      </c>
      <c r="Q77" s="1">
        <v>250.554</v>
      </c>
      <c r="R77" s="1">
        <v>26912.606889999999</v>
      </c>
      <c r="S77" s="1">
        <v>1141.269</v>
      </c>
      <c r="T77" s="1">
        <v>606.87699999999995</v>
      </c>
      <c r="U77" s="1">
        <v>534.39200000000005</v>
      </c>
      <c r="V77" s="1">
        <v>362424.46360000002</v>
      </c>
    </row>
    <row r="78" spans="1:22" x14ac:dyDescent="0.25">
      <c r="A78">
        <v>2018</v>
      </c>
      <c r="B78">
        <v>1</v>
      </c>
      <c r="C78" t="s">
        <v>25</v>
      </c>
      <c r="D78" t="s">
        <v>46</v>
      </c>
      <c r="E78" s="1">
        <v>1982066.3030000001</v>
      </c>
      <c r="F78" s="1">
        <v>880300.96799999999</v>
      </c>
      <c r="G78" s="1">
        <v>1057304.493</v>
      </c>
      <c r="H78" s="1">
        <v>44460.841370000002</v>
      </c>
      <c r="I78" s="1">
        <v>505013.54470000003</v>
      </c>
      <c r="J78" s="1">
        <v>100510.1672</v>
      </c>
      <c r="K78" s="1">
        <v>404503.3775</v>
      </c>
      <c r="L78" s="1">
        <v>1477526.7169999999</v>
      </c>
      <c r="M78" s="1">
        <v>44460.841370000002</v>
      </c>
      <c r="N78" s="1">
        <v>0</v>
      </c>
      <c r="O78" s="1">
        <v>87350.577999999994</v>
      </c>
      <c r="P78" s="1">
        <v>87097.051000000007</v>
      </c>
      <c r="Q78" s="1">
        <v>253.52699999999999</v>
      </c>
      <c r="R78" s="1">
        <v>11996.44333</v>
      </c>
      <c r="S78" s="1">
        <v>1163.14588</v>
      </c>
      <c r="T78" s="1">
        <v>538.95893999999998</v>
      </c>
      <c r="U78" s="1">
        <v>624.18694000000005</v>
      </c>
      <c r="V78" s="1">
        <v>360042.53619999997</v>
      </c>
    </row>
    <row r="79" spans="1:22" x14ac:dyDescent="0.25">
      <c r="A79">
        <v>2018</v>
      </c>
      <c r="B79">
        <v>2</v>
      </c>
      <c r="C79" t="s">
        <v>26</v>
      </c>
      <c r="D79" t="s">
        <v>46</v>
      </c>
      <c r="E79" s="1">
        <v>2508105.3289999999</v>
      </c>
      <c r="F79" s="1">
        <v>1477526.7169999999</v>
      </c>
      <c r="G79" s="1">
        <v>1020478.414</v>
      </c>
      <c r="H79" s="1">
        <v>10100.19868</v>
      </c>
      <c r="I79" s="1">
        <v>521532.49839999998</v>
      </c>
      <c r="J79" s="1">
        <v>169481.30660000001</v>
      </c>
      <c r="K79" s="1">
        <v>352051.19179999997</v>
      </c>
      <c r="L79" s="1">
        <v>1986912.331</v>
      </c>
      <c r="M79" s="1">
        <v>10100.19868</v>
      </c>
      <c r="N79" s="1">
        <v>0</v>
      </c>
      <c r="O79" s="1">
        <v>152800.08170000001</v>
      </c>
      <c r="P79" s="1">
        <v>152756.98970000001</v>
      </c>
      <c r="Q79" s="1">
        <v>43.091999999999999</v>
      </c>
      <c r="R79" s="1">
        <v>15965.390890000001</v>
      </c>
      <c r="S79" s="1">
        <v>715.83399999999995</v>
      </c>
      <c r="T79" s="1">
        <v>376.32799999999997</v>
      </c>
      <c r="U79" s="1">
        <v>339.50599999999997</v>
      </c>
      <c r="V79" s="1">
        <v>341950.99310000002</v>
      </c>
    </row>
    <row r="80" spans="1:22" x14ac:dyDescent="0.25">
      <c r="A80">
        <v>2018</v>
      </c>
      <c r="B80">
        <v>3</v>
      </c>
      <c r="C80" t="s">
        <v>27</v>
      </c>
      <c r="D80" t="s">
        <v>46</v>
      </c>
      <c r="E80" s="1">
        <v>3197580.3289999999</v>
      </c>
      <c r="F80" s="1">
        <v>1986912.331</v>
      </c>
      <c r="G80" s="1">
        <v>1193629.338</v>
      </c>
      <c r="H80" s="1">
        <v>17038.66012</v>
      </c>
      <c r="I80" s="1">
        <v>610112.60800000001</v>
      </c>
      <c r="J80" s="1">
        <v>282209.14939999999</v>
      </c>
      <c r="K80" s="1">
        <v>327903.45850000001</v>
      </c>
      <c r="L80" s="1">
        <v>2587807.7209999999</v>
      </c>
      <c r="M80" s="1">
        <v>17038.66012</v>
      </c>
      <c r="N80" s="1">
        <v>0</v>
      </c>
      <c r="O80" s="1">
        <v>254193.9498</v>
      </c>
      <c r="P80" s="1">
        <v>254108.6728</v>
      </c>
      <c r="Q80" s="1">
        <v>85.277000000000001</v>
      </c>
      <c r="R80" s="1">
        <v>27335.198670000002</v>
      </c>
      <c r="S80" s="1">
        <v>680.00099999999998</v>
      </c>
      <c r="T80" s="1">
        <v>340</v>
      </c>
      <c r="U80" s="1">
        <v>340.00099999999998</v>
      </c>
      <c r="V80" s="1">
        <v>310864.79840000003</v>
      </c>
    </row>
    <row r="81" spans="1:22" x14ac:dyDescent="0.25">
      <c r="A81">
        <v>2018</v>
      </c>
      <c r="B81">
        <v>4</v>
      </c>
      <c r="C81" t="s">
        <v>28</v>
      </c>
      <c r="D81" t="s">
        <v>46</v>
      </c>
      <c r="E81" s="1">
        <v>3596166.5240000002</v>
      </c>
      <c r="F81" s="1">
        <v>2587807.7209999999</v>
      </c>
      <c r="G81" s="1">
        <v>1001424.219</v>
      </c>
      <c r="H81" s="1">
        <v>6934.583901</v>
      </c>
      <c r="I81" s="1">
        <v>615665.08609999996</v>
      </c>
      <c r="J81" s="1">
        <v>162198.34289999999</v>
      </c>
      <c r="K81" s="1">
        <v>453466.74320000003</v>
      </c>
      <c r="L81" s="1">
        <v>2980949.5980000002</v>
      </c>
      <c r="M81" s="1">
        <v>6934.583901</v>
      </c>
      <c r="N81" s="1">
        <v>0</v>
      </c>
      <c r="O81" s="1">
        <v>144849.3296</v>
      </c>
      <c r="P81" s="1">
        <v>144678.0956</v>
      </c>
      <c r="Q81" s="1">
        <v>171.23400000000001</v>
      </c>
      <c r="R81" s="1">
        <v>15959.09282</v>
      </c>
      <c r="S81" s="1">
        <v>1389.92048</v>
      </c>
      <c r="T81" s="1">
        <v>791.76023999999995</v>
      </c>
      <c r="U81" s="1">
        <v>598.16024000000004</v>
      </c>
      <c r="V81" s="1">
        <v>446532.1593</v>
      </c>
    </row>
    <row r="82" spans="1:22" x14ac:dyDescent="0.25">
      <c r="A82">
        <v>2018</v>
      </c>
      <c r="B82">
        <v>5</v>
      </c>
      <c r="C82" t="s">
        <v>29</v>
      </c>
      <c r="D82" t="s">
        <v>46</v>
      </c>
      <c r="E82" s="1">
        <v>3615129.4619999998</v>
      </c>
      <c r="F82" s="1">
        <v>2980949.5980000002</v>
      </c>
      <c r="G82" s="1">
        <v>628555.07909999997</v>
      </c>
      <c r="H82" s="1">
        <v>5624.7844610000002</v>
      </c>
      <c r="I82" s="1">
        <v>457765.79310000001</v>
      </c>
      <c r="J82" s="1">
        <v>86702.604059999998</v>
      </c>
      <c r="K82" s="1">
        <v>371063.18900000001</v>
      </c>
      <c r="L82" s="1">
        <v>3157483.1779999998</v>
      </c>
      <c r="M82" s="1">
        <v>5624.7844610000002</v>
      </c>
      <c r="N82" s="1">
        <v>0</v>
      </c>
      <c r="O82" s="1">
        <v>53738.633500000004</v>
      </c>
      <c r="P82" s="1">
        <v>53524.307500000003</v>
      </c>
      <c r="Q82" s="1">
        <v>214.32599999999999</v>
      </c>
      <c r="R82" s="1">
        <v>32724.866559999999</v>
      </c>
      <c r="S82" s="1">
        <v>239.10400000000001</v>
      </c>
      <c r="T82" s="1">
        <v>119.595</v>
      </c>
      <c r="U82" s="1">
        <v>119.509</v>
      </c>
      <c r="V82" s="1">
        <v>365438.40460000001</v>
      </c>
    </row>
    <row r="83" spans="1:22" x14ac:dyDescent="0.25">
      <c r="A83">
        <v>2018</v>
      </c>
      <c r="B83">
        <v>6</v>
      </c>
      <c r="C83" t="s">
        <v>30</v>
      </c>
      <c r="D83" t="s">
        <v>46</v>
      </c>
      <c r="E83" s="1">
        <v>3259103.1260000002</v>
      </c>
      <c r="F83" s="1">
        <v>3157483.1779999998</v>
      </c>
      <c r="G83" s="1">
        <v>99096.531860000003</v>
      </c>
      <c r="H83" s="1">
        <v>2523.41696</v>
      </c>
      <c r="I83" s="1">
        <v>500892.63829999999</v>
      </c>
      <c r="J83" s="1">
        <v>97057.642999999996</v>
      </c>
      <c r="K83" s="1">
        <v>403834.99530000001</v>
      </c>
      <c r="L83" s="1">
        <v>2758250.4879999999</v>
      </c>
      <c r="M83" s="1">
        <v>2523.41696</v>
      </c>
      <c r="N83" s="1">
        <v>0</v>
      </c>
      <c r="O83" s="1">
        <v>55184.061000000002</v>
      </c>
      <c r="P83" s="1">
        <v>54927.55</v>
      </c>
      <c r="Q83" s="1">
        <v>256.51100000000002</v>
      </c>
      <c r="R83" s="1">
        <v>41734.781999999999</v>
      </c>
      <c r="S83" s="1">
        <v>138.80000000000001</v>
      </c>
      <c r="T83" s="1">
        <v>98.8</v>
      </c>
      <c r="U83" s="1">
        <v>40</v>
      </c>
      <c r="V83" s="1">
        <v>401311.5784</v>
      </c>
    </row>
    <row r="84" spans="1:22" x14ac:dyDescent="0.25">
      <c r="A84">
        <v>2018</v>
      </c>
      <c r="B84">
        <v>7</v>
      </c>
      <c r="C84" t="s">
        <v>31</v>
      </c>
      <c r="D84" t="s">
        <v>46</v>
      </c>
      <c r="E84" s="1">
        <v>2762406.4380000001</v>
      </c>
      <c r="F84" s="1">
        <v>2758250.4879999999</v>
      </c>
      <c r="G84" s="1">
        <v>2509.5</v>
      </c>
      <c r="H84" s="1">
        <v>1646.450116</v>
      </c>
      <c r="I84" s="1">
        <v>521180.79210000002</v>
      </c>
      <c r="J84" s="1">
        <v>162846.8345</v>
      </c>
      <c r="K84" s="1">
        <v>358333.95760000002</v>
      </c>
      <c r="L84" s="1">
        <v>2241284.4190000002</v>
      </c>
      <c r="M84" s="1">
        <v>1646.450116</v>
      </c>
      <c r="N84" s="1">
        <v>0</v>
      </c>
      <c r="O84" s="1">
        <v>128926.8995</v>
      </c>
      <c r="P84" s="1">
        <v>128883.8075</v>
      </c>
      <c r="Q84" s="1">
        <v>43.091999999999999</v>
      </c>
      <c r="R84" s="1">
        <v>33802.389049999998</v>
      </c>
      <c r="S84" s="1">
        <v>117.54600000000001</v>
      </c>
      <c r="T84" s="1">
        <v>58.773000000000003</v>
      </c>
      <c r="U84" s="1">
        <v>58.773000000000003</v>
      </c>
      <c r="V84" s="1">
        <v>356687.50750000001</v>
      </c>
    </row>
    <row r="85" spans="1:22" x14ac:dyDescent="0.25">
      <c r="A85">
        <v>2018</v>
      </c>
      <c r="B85">
        <v>8</v>
      </c>
      <c r="C85" t="s">
        <v>32</v>
      </c>
      <c r="D85" t="s">
        <v>46</v>
      </c>
      <c r="E85" s="1">
        <v>2244236.3199999998</v>
      </c>
      <c r="F85" s="1">
        <v>2241284.4190000002</v>
      </c>
      <c r="G85" s="1">
        <v>0</v>
      </c>
      <c r="H85" s="1">
        <v>2951.900897</v>
      </c>
      <c r="I85" s="1">
        <v>474974.78090000001</v>
      </c>
      <c r="J85" s="1">
        <v>112682.0384</v>
      </c>
      <c r="K85" s="1">
        <v>362292.74249999999</v>
      </c>
      <c r="L85" s="1">
        <v>1753192.01</v>
      </c>
      <c r="M85" s="1">
        <v>2951.900897</v>
      </c>
      <c r="N85" s="1">
        <v>0</v>
      </c>
      <c r="O85" s="1">
        <v>69253.107600000003</v>
      </c>
      <c r="P85" s="1">
        <v>69209.788400000005</v>
      </c>
      <c r="Q85" s="1">
        <v>43.319200000000002</v>
      </c>
      <c r="R85" s="1">
        <v>43191.988799999999</v>
      </c>
      <c r="S85" s="1">
        <v>236.94200000000001</v>
      </c>
      <c r="T85" s="1">
        <v>118.471</v>
      </c>
      <c r="U85" s="1">
        <v>118.471</v>
      </c>
      <c r="V85" s="1">
        <v>359340.84159999999</v>
      </c>
    </row>
    <row r="86" spans="1:22" x14ac:dyDescent="0.25">
      <c r="A86">
        <v>2018</v>
      </c>
      <c r="B86">
        <v>9</v>
      </c>
      <c r="C86" t="s">
        <v>33</v>
      </c>
      <c r="D86" t="s">
        <v>46</v>
      </c>
      <c r="E86" s="1">
        <v>1755487.35</v>
      </c>
      <c r="F86" s="1">
        <v>1753192.01</v>
      </c>
      <c r="G86" s="1">
        <v>0</v>
      </c>
      <c r="H86" s="1">
        <v>2295.3397920000002</v>
      </c>
      <c r="I86" s="1">
        <v>343624.54979999998</v>
      </c>
      <c r="J86" s="1">
        <v>167911.3799</v>
      </c>
      <c r="K86" s="1">
        <v>175713.16990000001</v>
      </c>
      <c r="L86" s="1">
        <v>1394532.861</v>
      </c>
      <c r="M86" s="1">
        <v>2295.3397920000002</v>
      </c>
      <c r="N86" s="1">
        <v>0</v>
      </c>
      <c r="O86" s="1">
        <v>69774.288039999999</v>
      </c>
      <c r="P86" s="1">
        <v>54752.769039999999</v>
      </c>
      <c r="Q86" s="1">
        <v>15021.519</v>
      </c>
      <c r="R86" s="1">
        <v>97740.832880000002</v>
      </c>
      <c r="S86" s="1">
        <v>396.25900000000001</v>
      </c>
      <c r="T86" s="1">
        <v>331.62099999999998</v>
      </c>
      <c r="U86" s="1">
        <v>64.638000000000005</v>
      </c>
      <c r="V86" s="1">
        <v>173417.83009999999</v>
      </c>
    </row>
    <row r="87" spans="1:22" x14ac:dyDescent="0.25">
      <c r="A87">
        <v>2018</v>
      </c>
      <c r="B87">
        <v>10</v>
      </c>
      <c r="C87" t="s">
        <v>22</v>
      </c>
      <c r="D87" t="s">
        <v>46</v>
      </c>
      <c r="E87" s="1">
        <v>1395941.922</v>
      </c>
      <c r="F87" s="1">
        <v>1394532.861</v>
      </c>
      <c r="G87" s="1">
        <v>0</v>
      </c>
      <c r="H87" s="1">
        <v>1409.06051</v>
      </c>
      <c r="I87" s="1">
        <v>371870.34250000003</v>
      </c>
      <c r="J87" s="1">
        <v>62261.161509999998</v>
      </c>
      <c r="K87" s="1">
        <v>309609.18099999998</v>
      </c>
      <c r="L87" s="1">
        <v>1022229.924</v>
      </c>
      <c r="M87" s="1">
        <v>1409.06051</v>
      </c>
      <c r="N87" s="1">
        <v>0</v>
      </c>
      <c r="O87" s="1">
        <v>48570.165840000001</v>
      </c>
      <c r="P87" s="1">
        <v>18398.931639999999</v>
      </c>
      <c r="Q87" s="1">
        <v>30171.234199999999</v>
      </c>
      <c r="R87" s="1">
        <v>13552.391670000001</v>
      </c>
      <c r="S87" s="1">
        <v>138.60400000000001</v>
      </c>
      <c r="T87" s="1">
        <v>138.60400000000001</v>
      </c>
      <c r="U87" s="1">
        <v>0</v>
      </c>
      <c r="V87" s="1">
        <v>308200.12050000002</v>
      </c>
    </row>
    <row r="88" spans="1:22" x14ac:dyDescent="0.25">
      <c r="A88">
        <v>2018</v>
      </c>
      <c r="B88">
        <v>11</v>
      </c>
      <c r="C88" t="s">
        <v>23</v>
      </c>
      <c r="D88" t="s">
        <v>46</v>
      </c>
      <c r="E88" s="1">
        <v>1140499.666</v>
      </c>
      <c r="F88" s="1">
        <v>1022229.924</v>
      </c>
      <c r="G88" s="1">
        <v>117601.74</v>
      </c>
      <c r="H88" s="1">
        <v>668.00204859999997</v>
      </c>
      <c r="I88" s="1">
        <v>535148.30200000003</v>
      </c>
      <c r="J88" s="1">
        <v>133933.92009999999</v>
      </c>
      <c r="K88" s="1">
        <v>401214.38189999998</v>
      </c>
      <c r="L88" s="1">
        <v>604936.36399999994</v>
      </c>
      <c r="M88" s="1">
        <v>668.00204859999997</v>
      </c>
      <c r="N88" s="1">
        <v>0</v>
      </c>
      <c r="O88" s="1">
        <v>115152.4074</v>
      </c>
      <c r="P88" s="1">
        <v>25518.088380000001</v>
      </c>
      <c r="Q88" s="1">
        <v>89634.319000000003</v>
      </c>
      <c r="R88" s="1">
        <v>18118.566770000001</v>
      </c>
      <c r="S88" s="1">
        <v>662.94600000000003</v>
      </c>
      <c r="T88" s="1">
        <v>440</v>
      </c>
      <c r="U88" s="1">
        <v>222.946</v>
      </c>
      <c r="V88" s="1">
        <v>400546.3799</v>
      </c>
    </row>
    <row r="89" spans="1:22" x14ac:dyDescent="0.25">
      <c r="A89">
        <v>2018</v>
      </c>
      <c r="B89">
        <v>12</v>
      </c>
      <c r="C89" t="s">
        <v>24</v>
      </c>
      <c r="D89" t="s">
        <v>46</v>
      </c>
      <c r="E89" s="1">
        <v>1402258.2490000001</v>
      </c>
      <c r="F89" s="1">
        <v>604936.36399999994</v>
      </c>
      <c r="G89" s="1">
        <v>796047.65599999996</v>
      </c>
      <c r="H89" s="1">
        <v>1274.2289840000001</v>
      </c>
      <c r="I89" s="1">
        <v>479064.48839999997</v>
      </c>
      <c r="J89" s="1">
        <v>130218.4417</v>
      </c>
      <c r="K89" s="1">
        <v>348846.04670000001</v>
      </c>
      <c r="L89" s="1">
        <v>880224.7206</v>
      </c>
      <c r="M89" s="1">
        <v>1274.2289840000001</v>
      </c>
      <c r="N89" s="1">
        <v>0</v>
      </c>
      <c r="O89" s="1">
        <v>106244.0803</v>
      </c>
      <c r="P89" s="1">
        <v>9693.5610799999995</v>
      </c>
      <c r="Q89" s="1">
        <v>96550.519199999995</v>
      </c>
      <c r="R89" s="1">
        <v>23070.196390000001</v>
      </c>
      <c r="S89" s="1">
        <v>904.16499999999996</v>
      </c>
      <c r="T89" s="1">
        <v>585.04</v>
      </c>
      <c r="U89" s="1">
        <v>319.125</v>
      </c>
      <c r="V89" s="1">
        <v>347571.81770000001</v>
      </c>
    </row>
    <row r="90" spans="1:22" x14ac:dyDescent="0.25">
      <c r="A90">
        <v>2019</v>
      </c>
      <c r="B90">
        <v>1</v>
      </c>
      <c r="C90" t="s">
        <v>25</v>
      </c>
      <c r="D90" t="s">
        <v>46</v>
      </c>
      <c r="E90" s="1">
        <v>1972120.11</v>
      </c>
      <c r="F90" s="1">
        <v>880224.7206</v>
      </c>
      <c r="G90" s="1">
        <v>1091303.6669999999</v>
      </c>
      <c r="H90" s="1">
        <v>591.72227650000002</v>
      </c>
      <c r="I90" s="1">
        <v>490174.75050000002</v>
      </c>
      <c r="J90" s="1">
        <v>39611.786209999998</v>
      </c>
      <c r="K90" s="1">
        <v>450562.96429999999</v>
      </c>
      <c r="L90" s="1">
        <v>1465489.11</v>
      </c>
      <c r="M90" s="1">
        <v>591.72227650000002</v>
      </c>
      <c r="N90" s="1">
        <v>0</v>
      </c>
      <c r="O90" s="1">
        <v>20350.705300000001</v>
      </c>
      <c r="P90" s="1">
        <v>11176.7479</v>
      </c>
      <c r="Q90" s="1">
        <v>9173.9573999999993</v>
      </c>
      <c r="R90" s="1">
        <v>18894.947909999999</v>
      </c>
      <c r="S90" s="1">
        <v>366.13299999999998</v>
      </c>
      <c r="T90" s="1">
        <v>97.930999999999997</v>
      </c>
      <c r="U90" s="1">
        <v>268.202</v>
      </c>
      <c r="V90" s="1">
        <v>449971.24200000003</v>
      </c>
    </row>
    <row r="91" spans="1:22" x14ac:dyDescent="0.25">
      <c r="A91">
        <v>2019</v>
      </c>
      <c r="B91">
        <v>2</v>
      </c>
      <c r="C91" t="s">
        <v>26</v>
      </c>
      <c r="D91" t="s">
        <v>46</v>
      </c>
      <c r="E91" s="1">
        <v>2582777.8769999999</v>
      </c>
      <c r="F91" s="1">
        <v>1465489.11</v>
      </c>
      <c r="G91" s="1">
        <v>1116211.8</v>
      </c>
      <c r="H91" s="1">
        <v>1076.9672330000001</v>
      </c>
      <c r="I91" s="1">
        <v>516439.2745</v>
      </c>
      <c r="J91" s="1">
        <v>250962.1771</v>
      </c>
      <c r="K91" s="1">
        <v>265477.09749999997</v>
      </c>
      <c r="L91" s="1">
        <v>2049198.6029999999</v>
      </c>
      <c r="M91" s="1">
        <v>1076.9672330000001</v>
      </c>
      <c r="N91" s="1">
        <v>0</v>
      </c>
      <c r="O91" s="1">
        <v>220857.24230000001</v>
      </c>
      <c r="P91" s="1">
        <v>159142.24230000001</v>
      </c>
      <c r="Q91" s="1">
        <v>61715</v>
      </c>
      <c r="R91" s="1">
        <v>29534.388800000001</v>
      </c>
      <c r="S91" s="1">
        <v>570.54600000000005</v>
      </c>
      <c r="T91" s="1">
        <v>277.52</v>
      </c>
      <c r="U91" s="1">
        <v>293.02600000000001</v>
      </c>
      <c r="V91" s="1">
        <v>264400.13020000001</v>
      </c>
    </row>
    <row r="92" spans="1:22" x14ac:dyDescent="0.25">
      <c r="A92">
        <v>2019</v>
      </c>
      <c r="B92">
        <v>3</v>
      </c>
      <c r="C92" t="s">
        <v>27</v>
      </c>
      <c r="D92" t="s">
        <v>46</v>
      </c>
      <c r="E92" s="1">
        <v>3267274.3059999999</v>
      </c>
      <c r="F92" s="1">
        <v>2049198.6029999999</v>
      </c>
      <c r="G92" s="1">
        <v>1211563.173</v>
      </c>
      <c r="H92" s="1">
        <v>6512.5304509999996</v>
      </c>
      <c r="I92" s="1">
        <v>570163.03529999999</v>
      </c>
      <c r="J92" s="1">
        <v>210757.6778</v>
      </c>
      <c r="K92" s="1">
        <v>359405.35739999998</v>
      </c>
      <c r="L92" s="1">
        <v>2668364.3709999998</v>
      </c>
      <c r="M92" s="1">
        <v>6512.5304509999996</v>
      </c>
      <c r="N92" s="1">
        <v>0</v>
      </c>
      <c r="O92" s="1">
        <v>177653.93100000001</v>
      </c>
      <c r="P92" s="1">
        <v>139030.29300000001</v>
      </c>
      <c r="Q92" s="1">
        <v>38623.637999999999</v>
      </c>
      <c r="R92" s="1">
        <v>32624.750810000001</v>
      </c>
      <c r="S92" s="1">
        <v>478.99599999999998</v>
      </c>
      <c r="T92" s="1">
        <v>278.76</v>
      </c>
      <c r="U92" s="1">
        <v>200.23599999999999</v>
      </c>
      <c r="V92" s="1">
        <v>352892.82699999999</v>
      </c>
    </row>
    <row r="93" spans="1:22" x14ac:dyDescent="0.25">
      <c r="A93">
        <v>2019</v>
      </c>
      <c r="B93">
        <v>4</v>
      </c>
      <c r="C93" t="s">
        <v>28</v>
      </c>
      <c r="D93" t="s">
        <v>46</v>
      </c>
      <c r="E93" s="1">
        <v>3813663.9739999999</v>
      </c>
      <c r="F93" s="1">
        <v>2668364.3709999998</v>
      </c>
      <c r="G93" s="1">
        <v>1144102.0649999999</v>
      </c>
      <c r="H93" s="1">
        <v>1197.5387009999999</v>
      </c>
      <c r="I93" s="1">
        <v>647689.5442</v>
      </c>
      <c r="J93" s="1">
        <v>318294.54350000003</v>
      </c>
      <c r="K93" s="1">
        <v>329395.00060000003</v>
      </c>
      <c r="L93" s="1">
        <v>3165974.43</v>
      </c>
      <c r="M93" s="1">
        <v>1197.5387009999999</v>
      </c>
      <c r="N93" s="1">
        <v>0</v>
      </c>
      <c r="O93" s="1">
        <v>290094.59470000002</v>
      </c>
      <c r="P93" s="1">
        <v>110833.5947</v>
      </c>
      <c r="Q93" s="1">
        <v>179261</v>
      </c>
      <c r="R93" s="1">
        <v>28058.31079</v>
      </c>
      <c r="S93" s="1">
        <v>141.63800000000001</v>
      </c>
      <c r="T93" s="1">
        <v>20</v>
      </c>
      <c r="U93" s="1">
        <v>121.63800000000001</v>
      </c>
      <c r="V93" s="1">
        <v>328197.46189999999</v>
      </c>
    </row>
    <row r="94" spans="1:22" x14ac:dyDescent="0.25">
      <c r="A94">
        <v>2019</v>
      </c>
      <c r="B94">
        <v>5</v>
      </c>
      <c r="C94" t="s">
        <v>29</v>
      </c>
      <c r="D94" t="s">
        <v>46</v>
      </c>
      <c r="E94" s="1">
        <v>3997644.5639999998</v>
      </c>
      <c r="F94" s="1">
        <v>3165974.43</v>
      </c>
      <c r="G94" s="1">
        <v>830177.73609999998</v>
      </c>
      <c r="H94" s="1">
        <v>1492.39787</v>
      </c>
      <c r="I94" s="1">
        <v>749742.08010000002</v>
      </c>
      <c r="J94" s="1">
        <v>307846.13669999997</v>
      </c>
      <c r="K94" s="1">
        <v>441895.94339999999</v>
      </c>
      <c r="L94" s="1">
        <v>3243932.4840000002</v>
      </c>
      <c r="M94" s="1">
        <v>1492.39787</v>
      </c>
      <c r="N94" s="1">
        <v>0</v>
      </c>
      <c r="O94" s="1">
        <v>262125.42929999999</v>
      </c>
      <c r="P94" s="1">
        <v>76164.245800000004</v>
      </c>
      <c r="Q94" s="1">
        <v>185961.18350000001</v>
      </c>
      <c r="R94" s="1">
        <v>45495.194409999996</v>
      </c>
      <c r="S94" s="1">
        <v>225.51300000000001</v>
      </c>
      <c r="T94" s="1">
        <v>60</v>
      </c>
      <c r="U94" s="1">
        <v>165.51300000000001</v>
      </c>
      <c r="V94" s="1">
        <v>440403.54560000001</v>
      </c>
    </row>
    <row r="95" spans="1:22" x14ac:dyDescent="0.25">
      <c r="A95">
        <v>2019</v>
      </c>
      <c r="B95">
        <v>6</v>
      </c>
      <c r="C95" t="s">
        <v>30</v>
      </c>
      <c r="D95" t="s">
        <v>46</v>
      </c>
      <c r="E95" s="1">
        <v>3363783.2560000001</v>
      </c>
      <c r="F95" s="1">
        <v>3243932.4840000002</v>
      </c>
      <c r="G95" s="1">
        <v>118911.16039999999</v>
      </c>
      <c r="H95" s="1">
        <v>939.61129000000005</v>
      </c>
      <c r="I95" s="1">
        <v>488819.27279999998</v>
      </c>
      <c r="J95" s="1">
        <v>202436.23910000001</v>
      </c>
      <c r="K95" s="1">
        <v>286383.03370000003</v>
      </c>
      <c r="L95" s="1">
        <v>2866788.6170000001</v>
      </c>
      <c r="M95" s="1">
        <v>939.61129000000005</v>
      </c>
      <c r="N95" s="1">
        <v>0</v>
      </c>
      <c r="O95" s="1">
        <v>171986.49160000001</v>
      </c>
      <c r="P95" s="1">
        <v>68071.675099999993</v>
      </c>
      <c r="Q95" s="1">
        <v>103914.8165</v>
      </c>
      <c r="R95" s="1">
        <v>30218.271499999999</v>
      </c>
      <c r="S95" s="1">
        <v>231.476</v>
      </c>
      <c r="T95" s="1">
        <v>79.602000000000004</v>
      </c>
      <c r="U95" s="1">
        <v>151.874</v>
      </c>
      <c r="V95" s="1">
        <v>285443.42239999998</v>
      </c>
    </row>
    <row r="96" spans="1:22" x14ac:dyDescent="0.25">
      <c r="A96">
        <v>2019</v>
      </c>
      <c r="B96">
        <v>7</v>
      </c>
      <c r="C96" t="s">
        <v>31</v>
      </c>
      <c r="D96" t="s">
        <v>46</v>
      </c>
      <c r="E96" s="1">
        <v>2868853.375</v>
      </c>
      <c r="F96" s="1">
        <v>2866788.6170000001</v>
      </c>
      <c r="G96" s="1">
        <v>0</v>
      </c>
      <c r="H96" s="1">
        <v>2064.7583570000002</v>
      </c>
      <c r="I96" s="1">
        <v>592052.44839999999</v>
      </c>
      <c r="J96" s="1">
        <v>269350.04430000001</v>
      </c>
      <c r="K96" s="1">
        <v>322702.40409999999</v>
      </c>
      <c r="L96" s="1">
        <v>2263006.514</v>
      </c>
      <c r="M96" s="1">
        <v>2064.7583570000002</v>
      </c>
      <c r="N96" s="1">
        <v>0</v>
      </c>
      <c r="O96" s="1">
        <v>224157.18100000001</v>
      </c>
      <c r="P96" s="1">
        <v>83485.542619999993</v>
      </c>
      <c r="Q96" s="1">
        <v>140671.6384</v>
      </c>
      <c r="R96" s="1">
        <v>44937.034480000002</v>
      </c>
      <c r="S96" s="1">
        <v>255.8288</v>
      </c>
      <c r="T96" s="1">
        <v>0</v>
      </c>
      <c r="U96" s="1">
        <v>255.8288</v>
      </c>
      <c r="V96" s="1">
        <v>320637.64569999999</v>
      </c>
    </row>
    <row r="97" spans="1:22" x14ac:dyDescent="0.25">
      <c r="A97">
        <v>2019</v>
      </c>
      <c r="B97">
        <v>8</v>
      </c>
      <c r="C97" t="s">
        <v>32</v>
      </c>
      <c r="D97" t="s">
        <v>46</v>
      </c>
      <c r="E97" s="1">
        <v>2265521.3139999998</v>
      </c>
      <c r="F97" s="1">
        <v>2263006.514</v>
      </c>
      <c r="G97" s="1">
        <v>0</v>
      </c>
      <c r="H97" s="1">
        <v>2514.7996050000002</v>
      </c>
      <c r="I97" s="1">
        <v>523725.32160000002</v>
      </c>
      <c r="J97" s="1">
        <v>197113.85699999999</v>
      </c>
      <c r="K97" s="1">
        <v>326611.46460000001</v>
      </c>
      <c r="L97" s="1">
        <v>1721440.9920000001</v>
      </c>
      <c r="M97" s="1">
        <v>2514.7996050000002</v>
      </c>
      <c r="N97" s="1">
        <v>0</v>
      </c>
      <c r="O97" s="1">
        <v>161249.68580000001</v>
      </c>
      <c r="P97" s="1">
        <v>81082.917400000006</v>
      </c>
      <c r="Q97" s="1">
        <v>80166.768400000001</v>
      </c>
      <c r="R97" s="1">
        <v>35599.980190000002</v>
      </c>
      <c r="S97" s="1">
        <v>264.19099999999997</v>
      </c>
      <c r="T97" s="1">
        <v>180.155</v>
      </c>
      <c r="U97" s="1">
        <v>84.036000000000001</v>
      </c>
      <c r="V97" s="1">
        <v>324096.66499999998</v>
      </c>
    </row>
    <row r="98" spans="1:22" x14ac:dyDescent="0.25">
      <c r="A98">
        <v>2019</v>
      </c>
      <c r="B98">
        <v>9</v>
      </c>
      <c r="C98" t="s">
        <v>33</v>
      </c>
      <c r="D98" t="s">
        <v>46</v>
      </c>
      <c r="E98" s="1">
        <v>1723370.0009999999</v>
      </c>
      <c r="F98" s="1">
        <v>1721440.9920000001</v>
      </c>
      <c r="G98" s="1">
        <v>0</v>
      </c>
      <c r="H98" s="1">
        <v>1929.0092749999999</v>
      </c>
      <c r="I98" s="1">
        <v>542528.77830000001</v>
      </c>
      <c r="J98" s="1">
        <v>292712.00349999999</v>
      </c>
      <c r="K98" s="1">
        <v>249816.77480000001</v>
      </c>
      <c r="L98" s="1">
        <v>1168741.023</v>
      </c>
      <c r="M98" s="1">
        <v>1929.0092749999999</v>
      </c>
      <c r="N98" s="1">
        <v>0</v>
      </c>
      <c r="O98" s="1">
        <v>215198.2562</v>
      </c>
      <c r="P98" s="1">
        <v>49541.617789999997</v>
      </c>
      <c r="Q98" s="1">
        <v>165656.6384</v>
      </c>
      <c r="R98" s="1">
        <v>76655.151259999999</v>
      </c>
      <c r="S98" s="1">
        <v>858.596</v>
      </c>
      <c r="T98" s="1">
        <v>360</v>
      </c>
      <c r="U98" s="1">
        <v>498.596</v>
      </c>
      <c r="V98" s="1">
        <v>247887.76550000001</v>
      </c>
    </row>
    <row r="99" spans="1:22" x14ac:dyDescent="0.25">
      <c r="A99">
        <v>2019</v>
      </c>
      <c r="B99">
        <v>10</v>
      </c>
      <c r="C99" t="s">
        <v>22</v>
      </c>
      <c r="D99" t="s">
        <v>46</v>
      </c>
      <c r="E99" s="1">
        <v>1171653.8840000001</v>
      </c>
      <c r="F99" s="1">
        <v>1168741.023</v>
      </c>
      <c r="G99" s="1">
        <v>0</v>
      </c>
      <c r="H99" s="1">
        <v>2912.860604</v>
      </c>
      <c r="I99" s="1">
        <v>450915.68660000002</v>
      </c>
      <c r="J99" s="1">
        <v>51837.909659999998</v>
      </c>
      <c r="K99" s="1">
        <v>399077.7769</v>
      </c>
      <c r="L99" s="1">
        <v>720086.74699999997</v>
      </c>
      <c r="M99" s="1">
        <v>2912.860604</v>
      </c>
      <c r="N99" s="1">
        <v>0</v>
      </c>
      <c r="O99" s="1">
        <v>23451.3868</v>
      </c>
      <c r="P99" s="1">
        <v>15465.834000000001</v>
      </c>
      <c r="Q99" s="1">
        <v>7985.5528000000004</v>
      </c>
      <c r="R99" s="1">
        <v>28386.522860000001</v>
      </c>
      <c r="S99" s="1">
        <v>0</v>
      </c>
      <c r="T99" s="1">
        <v>0</v>
      </c>
      <c r="U99" s="1">
        <v>0</v>
      </c>
      <c r="V99" s="1">
        <v>396164.91629999998</v>
      </c>
    </row>
    <row r="100" spans="1:22" x14ac:dyDescent="0.25">
      <c r="A100">
        <v>2019</v>
      </c>
      <c r="B100">
        <v>11</v>
      </c>
      <c r="C100" t="s">
        <v>23</v>
      </c>
      <c r="D100" t="s">
        <v>46</v>
      </c>
      <c r="E100" s="1">
        <v>798652.63320000004</v>
      </c>
      <c r="F100" s="1">
        <v>720086.74699999997</v>
      </c>
      <c r="G100" s="1">
        <v>73214.950349999999</v>
      </c>
      <c r="H100" s="1">
        <v>5350.9358679999996</v>
      </c>
      <c r="I100" s="1">
        <v>382144.5012</v>
      </c>
      <c r="J100" s="1">
        <v>63840.386140000002</v>
      </c>
      <c r="K100" s="1">
        <v>318304.1151</v>
      </c>
      <c r="L100" s="1">
        <v>413143.13199999998</v>
      </c>
      <c r="M100" s="1">
        <v>5350.9358679999996</v>
      </c>
      <c r="N100" s="1">
        <v>0</v>
      </c>
      <c r="O100" s="1">
        <v>44942.549800000001</v>
      </c>
      <c r="P100" s="1">
        <v>26889.634600000001</v>
      </c>
      <c r="Q100" s="1">
        <v>18052.915199999999</v>
      </c>
      <c r="R100" s="1">
        <v>18518.236339999999</v>
      </c>
      <c r="S100" s="1">
        <v>379.6</v>
      </c>
      <c r="T100" s="1">
        <v>379.6</v>
      </c>
      <c r="U100" s="1">
        <v>0</v>
      </c>
      <c r="V100" s="1">
        <v>312953.17920000001</v>
      </c>
    </row>
    <row r="101" spans="1:22" x14ac:dyDescent="0.25">
      <c r="A101">
        <v>2019</v>
      </c>
      <c r="B101">
        <v>12</v>
      </c>
      <c r="C101" t="s">
        <v>24</v>
      </c>
      <c r="D101" t="s">
        <v>46</v>
      </c>
      <c r="E101" s="1">
        <v>1008324.539</v>
      </c>
      <c r="F101" s="1">
        <v>413143.13199999998</v>
      </c>
      <c r="G101" s="1">
        <v>591250.75190000003</v>
      </c>
      <c r="H101" s="1">
        <v>3930.6554430000001</v>
      </c>
      <c r="I101" s="1">
        <v>365004.69280000002</v>
      </c>
      <c r="J101" s="1">
        <v>36924.166169999997</v>
      </c>
      <c r="K101" s="1">
        <v>328080.52659999998</v>
      </c>
      <c r="L101" s="1">
        <v>643319.84649999999</v>
      </c>
      <c r="M101" s="1">
        <v>3930.6554430000001</v>
      </c>
      <c r="N101" s="1">
        <v>0</v>
      </c>
      <c r="O101" s="1">
        <v>13152.54336</v>
      </c>
      <c r="P101" s="1">
        <v>10530.573200000001</v>
      </c>
      <c r="Q101" s="1">
        <v>2621.9701599999999</v>
      </c>
      <c r="R101" s="1">
        <v>23275.962810000001</v>
      </c>
      <c r="S101" s="1">
        <v>495.66</v>
      </c>
      <c r="T101" s="1">
        <v>455.66</v>
      </c>
      <c r="U101" s="1">
        <v>40</v>
      </c>
      <c r="V101" s="1">
        <v>324149.87119999999</v>
      </c>
    </row>
    <row r="102" spans="1:22" x14ac:dyDescent="0.25">
      <c r="A102">
        <v>2020</v>
      </c>
      <c r="B102">
        <v>1</v>
      </c>
      <c r="C102" t="s">
        <v>25</v>
      </c>
      <c r="D102" t="s">
        <v>46</v>
      </c>
      <c r="E102" s="1">
        <v>1560574.1769999999</v>
      </c>
      <c r="F102" s="1">
        <v>643319.84649999999</v>
      </c>
      <c r="G102" s="1">
        <v>915106.92279999994</v>
      </c>
      <c r="H102" s="1">
        <v>2147.4081649999998</v>
      </c>
      <c r="I102" s="1">
        <v>555948.09149999998</v>
      </c>
      <c r="J102" s="1">
        <v>134884.82370000001</v>
      </c>
      <c r="K102" s="1">
        <v>421063.26779999997</v>
      </c>
      <c r="L102" s="1">
        <v>1004626.086</v>
      </c>
      <c r="M102" s="1">
        <v>2147.4081649999998</v>
      </c>
      <c r="N102" s="1">
        <v>0</v>
      </c>
      <c r="O102" s="1">
        <v>110020.9991</v>
      </c>
      <c r="P102" s="1">
        <v>109647.80710000001</v>
      </c>
      <c r="Q102" s="1">
        <v>373.19200000000001</v>
      </c>
      <c r="R102" s="1">
        <v>24743.82458</v>
      </c>
      <c r="S102" s="1">
        <v>120</v>
      </c>
      <c r="T102" s="1">
        <v>120</v>
      </c>
      <c r="U102" s="1">
        <v>0</v>
      </c>
      <c r="V102" s="1">
        <v>418915.85960000003</v>
      </c>
    </row>
    <row r="103" spans="1:22" x14ac:dyDescent="0.25">
      <c r="A103">
        <v>2020</v>
      </c>
      <c r="B103">
        <v>2</v>
      </c>
      <c r="C103" t="s">
        <v>26</v>
      </c>
      <c r="D103" t="s">
        <v>46</v>
      </c>
      <c r="E103" s="1">
        <v>1971275.227</v>
      </c>
      <c r="F103" s="1">
        <v>1004626.086</v>
      </c>
      <c r="G103" s="1">
        <v>965702.63199999998</v>
      </c>
      <c r="H103" s="1">
        <v>946.50888929999996</v>
      </c>
      <c r="I103" s="1">
        <v>494890.74690000003</v>
      </c>
      <c r="J103" s="1">
        <v>126833.0514</v>
      </c>
      <c r="K103" s="1">
        <v>368057.69549999997</v>
      </c>
      <c r="L103" s="1">
        <v>1476384.48</v>
      </c>
      <c r="M103" s="1">
        <v>946.50888929999996</v>
      </c>
      <c r="N103" s="1">
        <v>0</v>
      </c>
      <c r="O103" s="1">
        <v>99231.51066</v>
      </c>
      <c r="P103" s="1">
        <v>98717.494659999997</v>
      </c>
      <c r="Q103" s="1">
        <v>514.01599999999996</v>
      </c>
      <c r="R103" s="1">
        <v>27423.400740000001</v>
      </c>
      <c r="S103" s="1">
        <v>178.14</v>
      </c>
      <c r="T103" s="1">
        <v>178.14</v>
      </c>
      <c r="U103" s="1">
        <v>0</v>
      </c>
      <c r="V103" s="1">
        <v>367111.18660000002</v>
      </c>
    </row>
    <row r="104" spans="1:22" x14ac:dyDescent="0.25">
      <c r="A104">
        <v>2020</v>
      </c>
      <c r="B104">
        <v>3</v>
      </c>
      <c r="C104" t="s">
        <v>27</v>
      </c>
      <c r="D104" t="s">
        <v>46</v>
      </c>
      <c r="E104" s="1">
        <v>2619417.5860000001</v>
      </c>
      <c r="F104" s="1">
        <v>1476384.48</v>
      </c>
      <c r="G104" s="1">
        <v>1142393.987</v>
      </c>
      <c r="H104" s="1">
        <v>639.1195927</v>
      </c>
      <c r="I104" s="1">
        <v>662360.26329999999</v>
      </c>
      <c r="J104" s="1">
        <v>201600.72440000001</v>
      </c>
      <c r="K104" s="1">
        <v>460759.53889999999</v>
      </c>
      <c r="L104" s="1">
        <v>1957057.3230000001</v>
      </c>
      <c r="M104" s="1">
        <v>639.1195927</v>
      </c>
      <c r="N104" s="1">
        <v>0</v>
      </c>
      <c r="O104" s="1">
        <v>170413.7187</v>
      </c>
      <c r="P104" s="1">
        <v>169819.20749999999</v>
      </c>
      <c r="Q104" s="1">
        <v>594.51120000000003</v>
      </c>
      <c r="R104" s="1">
        <v>31007.005649999999</v>
      </c>
      <c r="S104" s="1">
        <v>180</v>
      </c>
      <c r="T104" s="1">
        <v>180</v>
      </c>
      <c r="U104" s="1">
        <v>0</v>
      </c>
      <c r="V104" s="1">
        <v>460120.41930000001</v>
      </c>
    </row>
    <row r="105" spans="1:22" x14ac:dyDescent="0.25">
      <c r="A105">
        <v>2020</v>
      </c>
      <c r="B105">
        <v>4</v>
      </c>
      <c r="C105" t="s">
        <v>28</v>
      </c>
      <c r="D105" t="s">
        <v>46</v>
      </c>
      <c r="E105" s="1">
        <v>2905877.8670000001</v>
      </c>
      <c r="F105" s="1">
        <v>1957057.3230000001</v>
      </c>
      <c r="G105" s="1">
        <v>947809.41440000001</v>
      </c>
      <c r="H105" s="1">
        <v>1011.129372</v>
      </c>
      <c r="I105" s="1">
        <v>644597.54280000005</v>
      </c>
      <c r="J105" s="1">
        <v>273495.92950000003</v>
      </c>
      <c r="K105" s="1">
        <v>371101.61330000003</v>
      </c>
      <c r="L105" s="1">
        <v>2261280.324</v>
      </c>
      <c r="M105" s="1">
        <v>1011.129372</v>
      </c>
      <c r="N105" s="1">
        <v>0</v>
      </c>
      <c r="O105" s="1">
        <v>244282.546</v>
      </c>
      <c r="P105" s="1">
        <v>243990.46859999999</v>
      </c>
      <c r="Q105" s="1">
        <v>292.07740000000001</v>
      </c>
      <c r="R105" s="1">
        <v>29133.383559999998</v>
      </c>
      <c r="S105" s="1">
        <v>80</v>
      </c>
      <c r="T105" s="1">
        <v>80</v>
      </c>
      <c r="U105" s="1">
        <v>0</v>
      </c>
      <c r="V105" s="1">
        <v>370090.48389999999</v>
      </c>
    </row>
    <row r="106" spans="1:22" x14ac:dyDescent="0.25">
      <c r="A106">
        <v>2020</v>
      </c>
      <c r="B106">
        <v>5</v>
      </c>
      <c r="C106" t="s">
        <v>29</v>
      </c>
      <c r="D106" t="s">
        <v>46</v>
      </c>
      <c r="E106" s="1">
        <v>2773678.148</v>
      </c>
      <c r="F106" s="1">
        <v>2261280.324</v>
      </c>
      <c r="G106" s="1">
        <v>510658.64</v>
      </c>
      <c r="H106" s="1">
        <v>1739.183794</v>
      </c>
      <c r="I106" s="1">
        <v>460095.39079999999</v>
      </c>
      <c r="J106" s="1">
        <v>160656.23689999999</v>
      </c>
      <c r="K106" s="1">
        <v>299439.15389999998</v>
      </c>
      <c r="L106" s="1">
        <v>2313582.7570000002</v>
      </c>
      <c r="M106" s="1">
        <v>1739.183794</v>
      </c>
      <c r="N106" s="1">
        <v>0</v>
      </c>
      <c r="O106" s="1">
        <v>135185.24460000001</v>
      </c>
      <c r="P106" s="1">
        <v>135102.6894</v>
      </c>
      <c r="Q106" s="1">
        <v>82.555199999999999</v>
      </c>
      <c r="R106" s="1">
        <v>25310.992289999998</v>
      </c>
      <c r="S106" s="1">
        <v>160</v>
      </c>
      <c r="T106" s="1">
        <v>160</v>
      </c>
      <c r="U106" s="1">
        <v>0</v>
      </c>
      <c r="V106" s="1">
        <v>297699.97009999998</v>
      </c>
    </row>
    <row r="107" spans="1:22" x14ac:dyDescent="0.25">
      <c r="A107">
        <v>2020</v>
      </c>
      <c r="B107">
        <v>6</v>
      </c>
      <c r="C107" t="s">
        <v>30</v>
      </c>
      <c r="D107" t="s">
        <v>46</v>
      </c>
      <c r="E107" s="1">
        <v>2440962.801</v>
      </c>
      <c r="F107" s="1">
        <v>2313582.7570000002</v>
      </c>
      <c r="G107" s="1">
        <v>122942.85</v>
      </c>
      <c r="H107" s="1">
        <v>4437.1943959999999</v>
      </c>
      <c r="I107" s="1">
        <v>463742.34740000003</v>
      </c>
      <c r="J107" s="1">
        <v>114668.9486</v>
      </c>
      <c r="K107" s="1">
        <v>349073.39880000002</v>
      </c>
      <c r="L107" s="1">
        <v>1977220.4539999999</v>
      </c>
      <c r="M107" s="1">
        <v>4437.1943959999999</v>
      </c>
      <c r="N107" s="1">
        <v>0</v>
      </c>
      <c r="O107" s="1">
        <v>86198.192739999999</v>
      </c>
      <c r="P107" s="1">
        <v>86078.192739999999</v>
      </c>
      <c r="Q107" s="1">
        <v>120</v>
      </c>
      <c r="R107" s="1">
        <v>28410.755829999998</v>
      </c>
      <c r="S107" s="1">
        <v>60</v>
      </c>
      <c r="T107" s="1">
        <v>60</v>
      </c>
      <c r="U107" s="1">
        <v>0</v>
      </c>
      <c r="V107" s="1">
        <v>344636.20439999999</v>
      </c>
    </row>
    <row r="108" spans="1:22" x14ac:dyDescent="0.25">
      <c r="A108">
        <v>2020</v>
      </c>
      <c r="B108">
        <v>7</v>
      </c>
      <c r="C108" t="s">
        <v>31</v>
      </c>
      <c r="D108" t="s">
        <v>46</v>
      </c>
      <c r="E108" s="1">
        <v>1989249.4990000001</v>
      </c>
      <c r="F108" s="1">
        <v>1977220.4539999999</v>
      </c>
      <c r="G108" s="1">
        <v>9240.15</v>
      </c>
      <c r="H108" s="1">
        <v>2788.894894</v>
      </c>
      <c r="I108" s="1">
        <v>402567.00189999997</v>
      </c>
      <c r="J108" s="1">
        <v>136711.42259999999</v>
      </c>
      <c r="K108" s="1">
        <v>265855.57929999998</v>
      </c>
      <c r="L108" s="1">
        <v>1586682.497</v>
      </c>
      <c r="M108" s="1">
        <v>2788.894894</v>
      </c>
      <c r="N108" s="1">
        <v>0</v>
      </c>
      <c r="O108" s="1">
        <v>107606.77469999999</v>
      </c>
      <c r="P108" s="1">
        <v>107606.77469999999</v>
      </c>
      <c r="Q108" s="1">
        <v>0</v>
      </c>
      <c r="R108" s="1">
        <v>29044.997889999999</v>
      </c>
      <c r="S108" s="1">
        <v>59.65</v>
      </c>
      <c r="T108" s="1">
        <v>59.6</v>
      </c>
      <c r="U108" s="1">
        <v>0.05</v>
      </c>
      <c r="V108" s="1">
        <v>263066.68440000003</v>
      </c>
    </row>
    <row r="109" spans="1:22" x14ac:dyDescent="0.25">
      <c r="A109">
        <v>2020</v>
      </c>
      <c r="B109">
        <v>8</v>
      </c>
      <c r="C109" t="s">
        <v>32</v>
      </c>
      <c r="D109" t="s">
        <v>46</v>
      </c>
      <c r="E109" s="1">
        <v>1597471.2420000001</v>
      </c>
      <c r="F109" s="1">
        <v>1586682.497</v>
      </c>
      <c r="G109" s="1">
        <v>0</v>
      </c>
      <c r="H109" s="1">
        <v>10788.745339999999</v>
      </c>
      <c r="I109" s="1">
        <v>388657.63429999998</v>
      </c>
      <c r="J109" s="1">
        <v>140456.74890000001</v>
      </c>
      <c r="K109" s="1">
        <v>248200.8855</v>
      </c>
      <c r="L109" s="1">
        <v>1208813.608</v>
      </c>
      <c r="M109" s="1">
        <v>10788.745339999999</v>
      </c>
      <c r="N109" s="1">
        <v>0</v>
      </c>
      <c r="O109" s="1">
        <v>111613.50750000001</v>
      </c>
      <c r="P109" s="1">
        <v>111613.50750000001</v>
      </c>
      <c r="Q109" s="1">
        <v>0</v>
      </c>
      <c r="R109" s="1">
        <v>28763.041369999999</v>
      </c>
      <c r="S109" s="1">
        <v>80.2</v>
      </c>
      <c r="T109" s="1">
        <v>80.2</v>
      </c>
      <c r="U109" s="1">
        <v>0</v>
      </c>
      <c r="V109" s="1">
        <v>237412.14009999999</v>
      </c>
    </row>
    <row r="110" spans="1:22" x14ac:dyDescent="0.25">
      <c r="A110">
        <v>2020</v>
      </c>
      <c r="B110">
        <v>9</v>
      </c>
      <c r="C110" t="s">
        <v>33</v>
      </c>
      <c r="D110" t="s">
        <v>46</v>
      </c>
      <c r="E110" s="1">
        <v>1226666.9110000001</v>
      </c>
      <c r="F110" s="1">
        <v>1208813.608</v>
      </c>
      <c r="G110" s="1">
        <v>0</v>
      </c>
      <c r="H110" s="1">
        <v>17853.303090000001</v>
      </c>
      <c r="I110" s="1">
        <v>369160.1041</v>
      </c>
      <c r="J110" s="1">
        <v>97045.945370000001</v>
      </c>
      <c r="K110" s="1">
        <v>272114.15870000003</v>
      </c>
      <c r="L110" s="1">
        <v>857506.80700000003</v>
      </c>
      <c r="M110" s="1">
        <v>17853.303090000001</v>
      </c>
      <c r="N110" s="1">
        <v>0</v>
      </c>
      <c r="O110" s="1">
        <v>60717.818180000002</v>
      </c>
      <c r="P110" s="1">
        <v>60717.818180000002</v>
      </c>
      <c r="Q110" s="1">
        <v>0</v>
      </c>
      <c r="R110" s="1">
        <v>35731.007189999997</v>
      </c>
      <c r="S110" s="1">
        <v>597.12</v>
      </c>
      <c r="T110" s="1">
        <v>597.12</v>
      </c>
      <c r="U110" s="1">
        <v>0</v>
      </c>
      <c r="V110" s="1">
        <v>254260.85560000001</v>
      </c>
    </row>
    <row r="111" spans="1:22" x14ac:dyDescent="0.25">
      <c r="A111">
        <v>2020</v>
      </c>
      <c r="B111">
        <v>10</v>
      </c>
      <c r="C111" t="s">
        <v>22</v>
      </c>
      <c r="D111" t="s">
        <v>46</v>
      </c>
      <c r="E111" s="1">
        <v>867613.28240000003</v>
      </c>
      <c r="F111" s="1">
        <v>857506.80700000003</v>
      </c>
      <c r="G111" s="1">
        <v>1712.3</v>
      </c>
      <c r="H111" s="1">
        <v>8394.1754060000003</v>
      </c>
      <c r="I111" s="1">
        <v>356212.95890000003</v>
      </c>
      <c r="J111" s="1">
        <v>29843.22825</v>
      </c>
      <c r="K111" s="1">
        <v>326369.73060000001</v>
      </c>
      <c r="L111" s="1">
        <v>509034.97200000001</v>
      </c>
      <c r="M111" s="1">
        <v>8394.1754060000003</v>
      </c>
      <c r="N111" s="1">
        <v>0</v>
      </c>
      <c r="O111" s="1">
        <v>3879.3184000000001</v>
      </c>
      <c r="P111" s="1">
        <v>3348.848</v>
      </c>
      <c r="Q111" s="1">
        <v>530.47040000000004</v>
      </c>
      <c r="R111" s="1">
        <v>25963.90985</v>
      </c>
      <c r="S111" s="1">
        <v>0</v>
      </c>
      <c r="T111" s="1">
        <v>0</v>
      </c>
      <c r="U111" s="1">
        <v>0</v>
      </c>
      <c r="V111" s="1">
        <v>317975.5552</v>
      </c>
    </row>
    <row r="112" spans="1:22" x14ac:dyDescent="0.25">
      <c r="A112">
        <v>2020</v>
      </c>
      <c r="B112">
        <v>11</v>
      </c>
      <c r="C112" t="s">
        <v>23</v>
      </c>
      <c r="D112" t="s">
        <v>46</v>
      </c>
      <c r="E112" s="1">
        <v>683598.12459999998</v>
      </c>
      <c r="F112" s="1">
        <v>509034.97200000001</v>
      </c>
      <c r="G112" s="1">
        <v>171358.55100000001</v>
      </c>
      <c r="H112" s="1">
        <v>3204.601627</v>
      </c>
      <c r="I112" s="1">
        <v>347587.83960000001</v>
      </c>
      <c r="J112" s="1">
        <v>33981.71286</v>
      </c>
      <c r="K112" s="1">
        <v>313606.12680000003</v>
      </c>
      <c r="L112" s="1">
        <v>336010.28499999997</v>
      </c>
      <c r="M112" s="1">
        <v>3204.601627</v>
      </c>
      <c r="N112" s="1">
        <v>0</v>
      </c>
      <c r="O112" s="1">
        <v>10851.073200000001</v>
      </c>
      <c r="P112" s="1">
        <v>10768.518</v>
      </c>
      <c r="Q112" s="1">
        <v>82.555199999999999</v>
      </c>
      <c r="R112" s="1">
        <v>22830.639660000001</v>
      </c>
      <c r="S112" s="1">
        <v>300</v>
      </c>
      <c r="T112" s="1">
        <v>300</v>
      </c>
      <c r="U112" s="1">
        <v>0</v>
      </c>
      <c r="V112" s="1">
        <v>310401.52510000003</v>
      </c>
    </row>
    <row r="113" spans="1:22" x14ac:dyDescent="0.25">
      <c r="A113">
        <v>2020</v>
      </c>
      <c r="B113">
        <v>12</v>
      </c>
      <c r="C113" t="s">
        <v>24</v>
      </c>
      <c r="D113" t="s">
        <v>46</v>
      </c>
      <c r="E113" s="1">
        <v>1183687.0109999999</v>
      </c>
      <c r="F113" s="1">
        <v>336010.28499999997</v>
      </c>
      <c r="G113" s="1">
        <v>845792.53300000005</v>
      </c>
      <c r="H113" s="1">
        <v>1884.193012</v>
      </c>
      <c r="I113" s="1">
        <v>418035.34499999997</v>
      </c>
      <c r="J113" s="1">
        <v>71529.997610000006</v>
      </c>
      <c r="K113" s="1">
        <v>346505.34740000003</v>
      </c>
      <c r="L113" s="1">
        <v>765651.66599999997</v>
      </c>
      <c r="M113" s="1">
        <v>1884.193012</v>
      </c>
      <c r="N113" s="1">
        <v>0</v>
      </c>
      <c r="O113" s="1">
        <v>45134.53976</v>
      </c>
      <c r="P113" s="1">
        <v>13274.71536</v>
      </c>
      <c r="Q113" s="1">
        <v>31859.824400000001</v>
      </c>
      <c r="R113" s="1">
        <v>25591.60785</v>
      </c>
      <c r="S113" s="1">
        <v>803.85</v>
      </c>
      <c r="T113" s="1">
        <v>803.85</v>
      </c>
      <c r="U113" s="1">
        <v>0</v>
      </c>
      <c r="V113" s="1">
        <v>344621.1544</v>
      </c>
    </row>
    <row r="114" spans="1:22" x14ac:dyDescent="0.25">
      <c r="A114">
        <v>2021</v>
      </c>
      <c r="B114">
        <v>1</v>
      </c>
      <c r="C114" t="s">
        <v>25</v>
      </c>
      <c r="D114" t="s">
        <v>46</v>
      </c>
      <c r="E114" s="1">
        <v>1821782.15</v>
      </c>
      <c r="F114" s="1">
        <v>765651.66599999997</v>
      </c>
      <c r="G114" s="1">
        <v>1054895.683</v>
      </c>
      <c r="H114" s="1">
        <v>1234.800888</v>
      </c>
      <c r="I114" s="1">
        <v>477416.61690000002</v>
      </c>
      <c r="J114" s="1">
        <v>142917.01569999999</v>
      </c>
      <c r="K114" s="1">
        <v>334499.60119999998</v>
      </c>
      <c r="L114" s="1">
        <v>1340553.5330000001</v>
      </c>
      <c r="M114" s="1">
        <v>1234.800888</v>
      </c>
      <c r="N114" s="1">
        <v>0</v>
      </c>
      <c r="O114" s="1">
        <v>105778.386</v>
      </c>
      <c r="P114" s="1">
        <v>104498.386</v>
      </c>
      <c r="Q114" s="1">
        <v>1280</v>
      </c>
      <c r="R114" s="1">
        <v>37039.029649999997</v>
      </c>
      <c r="S114" s="1">
        <v>99.6</v>
      </c>
      <c r="T114" s="1">
        <v>99.6</v>
      </c>
      <c r="U114" s="1">
        <v>0</v>
      </c>
      <c r="V114" s="1">
        <v>333264.8003</v>
      </c>
    </row>
    <row r="115" spans="1:22" x14ac:dyDescent="0.25">
      <c r="A115">
        <v>2021</v>
      </c>
      <c r="B115">
        <v>2</v>
      </c>
      <c r="C115" t="s">
        <v>26</v>
      </c>
      <c r="D115" t="s">
        <v>46</v>
      </c>
      <c r="E115" s="1">
        <v>2403234.4559999998</v>
      </c>
      <c r="F115" s="1">
        <v>1340553.5330000001</v>
      </c>
      <c r="G115" s="1">
        <v>1062131.5460000001</v>
      </c>
      <c r="H115" s="1">
        <v>549.37664789999997</v>
      </c>
      <c r="I115" s="1">
        <v>505518.70159999997</v>
      </c>
      <c r="J115" s="1">
        <v>139825.42449999999</v>
      </c>
      <c r="K115" s="1">
        <v>365693.27720000001</v>
      </c>
      <c r="L115" s="1">
        <v>1897715.754</v>
      </c>
      <c r="M115" s="1">
        <v>549.37664789999997</v>
      </c>
      <c r="N115" s="1">
        <v>0</v>
      </c>
      <c r="O115" s="1">
        <v>102236.7782</v>
      </c>
      <c r="P115" s="1">
        <v>98834.139800000004</v>
      </c>
      <c r="Q115" s="1">
        <v>3402.6383999999998</v>
      </c>
      <c r="R115" s="1">
        <v>37370.286289999996</v>
      </c>
      <c r="S115" s="1">
        <v>218.36</v>
      </c>
      <c r="T115" s="1">
        <v>218.36</v>
      </c>
      <c r="U115" s="1">
        <v>0</v>
      </c>
      <c r="V115" s="1">
        <v>365143.90049999999</v>
      </c>
    </row>
    <row r="116" spans="1:22" x14ac:dyDescent="0.25">
      <c r="A116">
        <v>2021</v>
      </c>
      <c r="B116">
        <v>3</v>
      </c>
      <c r="C116" t="s">
        <v>27</v>
      </c>
      <c r="D116" t="s">
        <v>46</v>
      </c>
      <c r="E116" s="1">
        <v>3087957.03</v>
      </c>
      <c r="F116" s="1">
        <v>1897715.754</v>
      </c>
      <c r="G116" s="1">
        <v>1188483.5900000001</v>
      </c>
      <c r="H116" s="1">
        <v>1757.6852260000001</v>
      </c>
      <c r="I116" s="1">
        <v>557184.67559999996</v>
      </c>
      <c r="J116" s="1">
        <v>200604.9117</v>
      </c>
      <c r="K116" s="1">
        <v>356579.76390000002</v>
      </c>
      <c r="L116" s="1">
        <v>2498772.3539999998</v>
      </c>
      <c r="M116" s="1">
        <v>1757.6852260000001</v>
      </c>
      <c r="N116" s="1">
        <v>0</v>
      </c>
      <c r="O116" s="1">
        <v>157968.81159999999</v>
      </c>
      <c r="P116" s="1">
        <v>94188.811600000001</v>
      </c>
      <c r="Q116" s="1">
        <v>63780</v>
      </c>
      <c r="R116" s="1">
        <v>42336.860489999999</v>
      </c>
      <c r="S116" s="1">
        <v>299.23962</v>
      </c>
      <c r="T116" s="1">
        <v>299.23962</v>
      </c>
      <c r="U116" s="1">
        <v>0</v>
      </c>
      <c r="V116" s="1">
        <v>354822.07870000001</v>
      </c>
    </row>
    <row r="117" spans="1:22" x14ac:dyDescent="0.25">
      <c r="A117">
        <v>2021</v>
      </c>
      <c r="B117">
        <v>4</v>
      </c>
      <c r="C117" t="s">
        <v>28</v>
      </c>
      <c r="D117" t="s">
        <v>46</v>
      </c>
      <c r="E117" s="1">
        <v>3461364.32</v>
      </c>
      <c r="F117" s="1">
        <v>2498772.3539999998</v>
      </c>
      <c r="G117" s="1">
        <v>961128.10360000003</v>
      </c>
      <c r="H117" s="1">
        <v>1463.862359</v>
      </c>
      <c r="I117" s="1">
        <v>560946.75699999998</v>
      </c>
      <c r="J117" s="1">
        <v>305253.31199999998</v>
      </c>
      <c r="K117" s="1">
        <v>255693.44500000001</v>
      </c>
      <c r="L117" s="1">
        <v>2900417.5630000001</v>
      </c>
      <c r="M117" s="1">
        <v>1463.862359</v>
      </c>
      <c r="N117" s="1">
        <v>0</v>
      </c>
      <c r="O117" s="1">
        <v>268990.34519999998</v>
      </c>
      <c r="P117" s="1">
        <v>170795.6372</v>
      </c>
      <c r="Q117" s="1">
        <v>98194.707999999999</v>
      </c>
      <c r="R117" s="1">
        <v>36136.48674</v>
      </c>
      <c r="S117" s="1">
        <v>126.48</v>
      </c>
      <c r="T117" s="1">
        <v>120</v>
      </c>
      <c r="U117" s="1">
        <v>6.48</v>
      </c>
      <c r="V117" s="1">
        <v>254229.58259999999</v>
      </c>
    </row>
    <row r="118" spans="1:22" x14ac:dyDescent="0.25">
      <c r="A118">
        <v>2021</v>
      </c>
      <c r="B118">
        <v>5</v>
      </c>
      <c r="C118" t="s">
        <v>29</v>
      </c>
      <c r="D118" t="s">
        <v>46</v>
      </c>
      <c r="E118" s="1">
        <v>3287992.622</v>
      </c>
      <c r="F118" s="1">
        <v>2900417.5630000001</v>
      </c>
      <c r="G118" s="1">
        <v>383636.91399999999</v>
      </c>
      <c r="H118" s="1">
        <v>3938.144546</v>
      </c>
      <c r="I118" s="1">
        <v>476006.1335</v>
      </c>
      <c r="J118" s="1">
        <v>171205.71859999999</v>
      </c>
      <c r="K118" s="1">
        <v>304800.41489999997</v>
      </c>
      <c r="L118" s="1">
        <v>2789986.4879999999</v>
      </c>
      <c r="M118" s="1">
        <v>3938.144546</v>
      </c>
      <c r="N118" s="1">
        <v>0</v>
      </c>
      <c r="O118" s="1">
        <v>134128.47440000001</v>
      </c>
      <c r="P118" s="1">
        <v>87900.196039999995</v>
      </c>
      <c r="Q118" s="1">
        <v>46228.278400000003</v>
      </c>
      <c r="R118" s="1">
        <v>36977.644200000002</v>
      </c>
      <c r="S118" s="1">
        <v>99.6</v>
      </c>
      <c r="T118" s="1">
        <v>99.6</v>
      </c>
      <c r="U118" s="1">
        <v>0</v>
      </c>
      <c r="V118" s="1">
        <v>300862.27039999998</v>
      </c>
    </row>
    <row r="119" spans="1:22" x14ac:dyDescent="0.25">
      <c r="A119">
        <v>2021</v>
      </c>
      <c r="B119">
        <v>6</v>
      </c>
      <c r="C119" t="s">
        <v>30</v>
      </c>
      <c r="D119" t="s">
        <v>46</v>
      </c>
      <c r="E119" s="1">
        <v>2831928.202</v>
      </c>
      <c r="F119" s="1">
        <v>2789986.4879999999</v>
      </c>
      <c r="G119" s="1">
        <v>36633</v>
      </c>
      <c r="H119" s="1">
        <v>5308.713855</v>
      </c>
      <c r="I119" s="1">
        <v>507371.28889999999</v>
      </c>
      <c r="J119" s="1">
        <v>142587.9872</v>
      </c>
      <c r="K119" s="1">
        <v>364783.30160000001</v>
      </c>
      <c r="L119" s="1">
        <v>2324556.9130000002</v>
      </c>
      <c r="M119" s="1">
        <v>5308.713855</v>
      </c>
      <c r="N119" s="1">
        <v>0</v>
      </c>
      <c r="O119" s="1">
        <v>97182.294519999996</v>
      </c>
      <c r="P119" s="1">
        <v>94979.410520000005</v>
      </c>
      <c r="Q119" s="1">
        <v>2202.884</v>
      </c>
      <c r="R119" s="1">
        <v>45399.495719999999</v>
      </c>
      <c r="S119" s="1">
        <v>6.1970000000000001</v>
      </c>
      <c r="T119" s="1">
        <v>6.1970000000000001</v>
      </c>
      <c r="U119" s="1">
        <v>0</v>
      </c>
      <c r="V119" s="1">
        <v>359474.58779999998</v>
      </c>
    </row>
    <row r="120" spans="1:22" x14ac:dyDescent="0.25">
      <c r="A120">
        <v>2021</v>
      </c>
      <c r="B120">
        <v>7</v>
      </c>
      <c r="C120" t="s">
        <v>31</v>
      </c>
      <c r="D120" t="s">
        <v>46</v>
      </c>
      <c r="E120" s="1">
        <v>2336464.33</v>
      </c>
      <c r="F120" s="1">
        <v>2324556.9130000002</v>
      </c>
      <c r="G120" s="1">
        <v>9675.4</v>
      </c>
      <c r="H120" s="1">
        <v>2232.0170499999999</v>
      </c>
      <c r="I120" s="1">
        <v>436024.63299999997</v>
      </c>
      <c r="J120" s="1">
        <v>97328.697650000002</v>
      </c>
      <c r="K120" s="1">
        <v>338695.93540000002</v>
      </c>
      <c r="L120" s="1">
        <v>1900330.355</v>
      </c>
      <c r="M120" s="1">
        <v>2232.0170499999999</v>
      </c>
      <c r="N120" s="1">
        <v>0</v>
      </c>
      <c r="O120" s="1">
        <v>54628.76483</v>
      </c>
      <c r="P120" s="1">
        <v>51202.830430000002</v>
      </c>
      <c r="Q120" s="1">
        <v>3425.9344000000001</v>
      </c>
      <c r="R120" s="1">
        <v>42639.932820000002</v>
      </c>
      <c r="S120" s="1">
        <v>60</v>
      </c>
      <c r="T120" s="1">
        <v>60</v>
      </c>
      <c r="U120" s="1">
        <v>0</v>
      </c>
      <c r="V120" s="1">
        <v>336463.91830000002</v>
      </c>
    </row>
    <row r="121" spans="1:22" x14ac:dyDescent="0.25">
      <c r="A121">
        <v>2021</v>
      </c>
      <c r="B121">
        <v>8</v>
      </c>
      <c r="C121" t="s">
        <v>32</v>
      </c>
      <c r="D121" t="s">
        <v>46</v>
      </c>
      <c r="E121" s="1">
        <v>1901860.267</v>
      </c>
      <c r="F121" s="1">
        <v>1900330.355</v>
      </c>
      <c r="G121" s="1">
        <v>0</v>
      </c>
      <c r="H121" s="1">
        <v>1529.911548</v>
      </c>
      <c r="I121" s="1">
        <v>436456.61249999999</v>
      </c>
      <c r="J121" s="1">
        <v>78428.421499999997</v>
      </c>
      <c r="K121" s="1">
        <v>358028.1911</v>
      </c>
      <c r="L121" s="1">
        <v>1465403.6540000001</v>
      </c>
      <c r="M121" s="1">
        <v>1529.911548</v>
      </c>
      <c r="N121" s="1">
        <v>0</v>
      </c>
      <c r="O121" s="1">
        <v>43974.207479999997</v>
      </c>
      <c r="P121" s="1">
        <v>41103.383479999997</v>
      </c>
      <c r="Q121" s="1">
        <v>2870.8240000000001</v>
      </c>
      <c r="R121" s="1">
        <v>34453.669020000001</v>
      </c>
      <c r="S121" s="1">
        <v>0.54500000000000004</v>
      </c>
      <c r="T121" s="1">
        <v>0.54500000000000004</v>
      </c>
      <c r="U121" s="1">
        <v>0</v>
      </c>
      <c r="V121" s="1">
        <v>356498.2795</v>
      </c>
    </row>
    <row r="122" spans="1:22" x14ac:dyDescent="0.25">
      <c r="A122">
        <v>2021</v>
      </c>
      <c r="B122">
        <v>9</v>
      </c>
      <c r="C122" t="s">
        <v>33</v>
      </c>
      <c r="D122" t="s">
        <v>46</v>
      </c>
      <c r="E122" s="1">
        <v>1465779.0249999999</v>
      </c>
      <c r="F122" s="1">
        <v>1465403.6540000001</v>
      </c>
      <c r="G122" s="1">
        <v>0</v>
      </c>
      <c r="H122" s="1">
        <v>375.37068900000003</v>
      </c>
      <c r="I122" s="1">
        <v>409485.28370000003</v>
      </c>
      <c r="J122" s="1">
        <v>139310.41690000001</v>
      </c>
      <c r="K122" s="1">
        <v>270174.86680000002</v>
      </c>
      <c r="L122" s="1">
        <v>1053113.7409999999</v>
      </c>
      <c r="M122" s="1">
        <v>375.37068900000003</v>
      </c>
      <c r="N122" s="1">
        <v>0</v>
      </c>
      <c r="O122" s="1">
        <v>74016.000889999996</v>
      </c>
      <c r="P122" s="1">
        <v>57039.623290000003</v>
      </c>
      <c r="Q122" s="1">
        <v>16976.3776</v>
      </c>
      <c r="R122" s="1">
        <v>64697.516020000003</v>
      </c>
      <c r="S122" s="1">
        <v>596.9</v>
      </c>
      <c r="T122" s="1">
        <v>596.9</v>
      </c>
      <c r="U122" s="1">
        <v>0</v>
      </c>
      <c r="V122" s="1">
        <v>269799.49609999999</v>
      </c>
    </row>
    <row r="123" spans="1:22" x14ac:dyDescent="0.25">
      <c r="A123">
        <v>2021</v>
      </c>
      <c r="B123">
        <v>10</v>
      </c>
      <c r="C123" t="s">
        <v>22</v>
      </c>
      <c r="D123" t="s">
        <v>46</v>
      </c>
      <c r="E123" s="1">
        <v>1053581.6159999999</v>
      </c>
      <c r="F123" s="1">
        <v>1053113.7409999999</v>
      </c>
      <c r="G123" s="1">
        <v>0</v>
      </c>
      <c r="H123" s="1">
        <v>467.87467240000001</v>
      </c>
      <c r="I123" s="1">
        <v>419292.67469999997</v>
      </c>
      <c r="J123" s="1">
        <v>50684.214099999997</v>
      </c>
      <c r="K123" s="1">
        <v>368608.46059999999</v>
      </c>
      <c r="L123" s="1">
        <v>621323.94099999999</v>
      </c>
      <c r="M123" s="1">
        <v>467.87467240000001</v>
      </c>
      <c r="N123" s="1">
        <v>0</v>
      </c>
      <c r="O123" s="1">
        <v>20113.168000000001</v>
      </c>
      <c r="P123" s="1">
        <v>16136.575999999999</v>
      </c>
      <c r="Q123" s="1">
        <v>3976.5920000000001</v>
      </c>
      <c r="R123" s="1">
        <v>30571.0461</v>
      </c>
      <c r="S123" s="1">
        <v>0</v>
      </c>
      <c r="T123" s="1">
        <v>0</v>
      </c>
      <c r="U123" s="1">
        <v>0</v>
      </c>
      <c r="V123" s="1">
        <v>368140.58590000001</v>
      </c>
    </row>
    <row r="124" spans="1:22" x14ac:dyDescent="0.25">
      <c r="A124">
        <v>2021</v>
      </c>
      <c r="B124">
        <v>11</v>
      </c>
      <c r="C124" t="s">
        <v>23</v>
      </c>
      <c r="D124" t="s">
        <v>46</v>
      </c>
      <c r="E124" s="1">
        <v>791114.28529999999</v>
      </c>
      <c r="F124" s="1">
        <v>621323.94099999999</v>
      </c>
      <c r="G124" s="1">
        <v>169190.902</v>
      </c>
      <c r="H124" s="1">
        <v>599.44231639999998</v>
      </c>
      <c r="I124" s="1">
        <v>393386.75329999998</v>
      </c>
      <c r="J124" s="1">
        <v>94030.772750000004</v>
      </c>
      <c r="K124" s="1">
        <v>299355.98060000001</v>
      </c>
      <c r="L124" s="1">
        <v>382024.23200000002</v>
      </c>
      <c r="M124" s="1">
        <v>599.44231639999998</v>
      </c>
      <c r="N124" s="1">
        <v>0</v>
      </c>
      <c r="O124" s="1">
        <v>59960.915999999997</v>
      </c>
      <c r="P124" s="1">
        <v>41337.620000000003</v>
      </c>
      <c r="Q124" s="1">
        <v>18623.295999999998</v>
      </c>
      <c r="R124" s="1">
        <v>33509.856749999999</v>
      </c>
      <c r="S124" s="1">
        <v>560</v>
      </c>
      <c r="T124" s="1">
        <v>560</v>
      </c>
      <c r="U124" s="1">
        <v>0</v>
      </c>
      <c r="V124" s="1">
        <v>298756.53820000001</v>
      </c>
    </row>
    <row r="125" spans="1:22" x14ac:dyDescent="0.25">
      <c r="A125">
        <v>2021</v>
      </c>
      <c r="B125">
        <v>12</v>
      </c>
      <c r="C125" t="s">
        <v>24</v>
      </c>
      <c r="D125" t="s">
        <v>46</v>
      </c>
      <c r="E125" s="1">
        <v>1240288.5209999999</v>
      </c>
      <c r="F125" s="1">
        <v>382024.23200000002</v>
      </c>
      <c r="G125" s="1">
        <v>857799.85120000003</v>
      </c>
      <c r="H125" s="1">
        <v>464.43788380000001</v>
      </c>
      <c r="I125" s="1">
        <v>489796.6041</v>
      </c>
      <c r="J125" s="1">
        <v>84347.870670000004</v>
      </c>
      <c r="K125" s="1">
        <v>405448.73340000003</v>
      </c>
      <c r="L125" s="1">
        <v>726042.21699999995</v>
      </c>
      <c r="M125" s="1">
        <v>464.43788380000001</v>
      </c>
      <c r="N125" s="1">
        <v>0</v>
      </c>
      <c r="O125" s="1">
        <v>42311.956039999997</v>
      </c>
      <c r="P125" s="1">
        <v>33043.383240000003</v>
      </c>
      <c r="Q125" s="1">
        <v>9268.5727999999999</v>
      </c>
      <c r="R125" s="1">
        <v>41139.817369999997</v>
      </c>
      <c r="S125" s="1">
        <v>896.09726000000001</v>
      </c>
      <c r="T125" s="1">
        <v>896.09726000000001</v>
      </c>
      <c r="U125" s="1">
        <v>0</v>
      </c>
      <c r="V125" s="1">
        <v>404984.29550000001</v>
      </c>
    </row>
    <row r="126" spans="1:22" x14ac:dyDescent="0.25">
      <c r="A126">
        <v>2022</v>
      </c>
      <c r="B126">
        <v>1</v>
      </c>
      <c r="C126" t="s">
        <v>25</v>
      </c>
      <c r="D126" t="s">
        <v>46</v>
      </c>
      <c r="E126" s="1">
        <v>1778824.0079999999</v>
      </c>
      <c r="F126" s="1">
        <v>726042.21699999995</v>
      </c>
      <c r="G126" s="1">
        <v>1052210.4029999999</v>
      </c>
      <c r="H126" s="1">
        <v>571.38797099999999</v>
      </c>
      <c r="I126" s="1">
        <v>548500.95689999999</v>
      </c>
      <c r="J126" s="1">
        <v>190038.51579999999</v>
      </c>
      <c r="K126" s="1">
        <v>358462.4411</v>
      </c>
      <c r="L126" s="1">
        <v>1230323.051</v>
      </c>
      <c r="M126" s="1">
        <v>571.38797099999999</v>
      </c>
      <c r="N126" s="1">
        <v>0</v>
      </c>
      <c r="O126" s="1">
        <v>154931.57440000001</v>
      </c>
      <c r="P126" s="1">
        <v>117446.3808</v>
      </c>
      <c r="Q126" s="1">
        <v>37485.193599999999</v>
      </c>
      <c r="R126" s="1">
        <v>34908.092839999998</v>
      </c>
      <c r="S126" s="1">
        <v>198.8485</v>
      </c>
      <c r="T126" s="1">
        <v>198.82849999999999</v>
      </c>
      <c r="U126" s="1">
        <v>0.02</v>
      </c>
      <c r="V126" s="1">
        <v>357891.05320000002</v>
      </c>
    </row>
    <row r="127" spans="1:22" x14ac:dyDescent="0.25">
      <c r="A127">
        <v>2022</v>
      </c>
      <c r="B127">
        <v>2</v>
      </c>
      <c r="C127" t="s">
        <v>26</v>
      </c>
      <c r="D127" t="s">
        <v>46</v>
      </c>
      <c r="E127" s="1">
        <v>2293907.7310000001</v>
      </c>
      <c r="F127" s="1">
        <v>1230323.051</v>
      </c>
      <c r="G127" s="1">
        <v>1063133.514</v>
      </c>
      <c r="H127" s="1">
        <v>451.165615</v>
      </c>
      <c r="I127" s="1">
        <v>524023.38010000001</v>
      </c>
      <c r="J127" s="1">
        <v>249447.33840000001</v>
      </c>
      <c r="K127" s="1">
        <v>274576.0417</v>
      </c>
      <c r="L127" s="1">
        <v>1742413.29</v>
      </c>
      <c r="M127" s="1">
        <v>451.165615</v>
      </c>
      <c r="N127" s="1">
        <v>0</v>
      </c>
      <c r="O127" s="1">
        <v>211148.00810000001</v>
      </c>
      <c r="P127" s="1">
        <v>154038.67129999999</v>
      </c>
      <c r="Q127" s="1">
        <v>57109.336799999997</v>
      </c>
      <c r="R127" s="1">
        <v>37902.169600000001</v>
      </c>
      <c r="S127" s="1">
        <v>397.16072000000003</v>
      </c>
      <c r="T127" s="1">
        <v>397.16072000000003</v>
      </c>
      <c r="U127" s="1">
        <v>0</v>
      </c>
      <c r="V127" s="1">
        <v>274124.87609999999</v>
      </c>
    </row>
    <row r="128" spans="1:22" x14ac:dyDescent="0.25">
      <c r="A128">
        <v>2022</v>
      </c>
      <c r="B128">
        <v>3</v>
      </c>
      <c r="C128" t="s">
        <v>27</v>
      </c>
      <c r="D128" t="s">
        <v>46</v>
      </c>
      <c r="E128" s="1">
        <v>2992620.68</v>
      </c>
      <c r="F128" s="1">
        <v>1742413.29</v>
      </c>
      <c r="G128" s="1">
        <v>1249593.848</v>
      </c>
      <c r="H128" s="1">
        <v>613.54145389999996</v>
      </c>
      <c r="I128" s="1">
        <v>631045.72790000006</v>
      </c>
      <c r="J128" s="1">
        <v>235001.04089999999</v>
      </c>
      <c r="K128" s="1">
        <v>396044.68709999998</v>
      </c>
      <c r="L128" s="1">
        <v>2324459.716</v>
      </c>
      <c r="M128" s="1">
        <v>613.54145389999996</v>
      </c>
      <c r="N128" s="1">
        <v>0</v>
      </c>
      <c r="O128" s="1">
        <v>187983.76860000001</v>
      </c>
      <c r="P128" s="1">
        <v>128781.4446</v>
      </c>
      <c r="Q128" s="1">
        <v>59202.324000000001</v>
      </c>
      <c r="R128" s="1">
        <v>46741.272219999999</v>
      </c>
      <c r="S128" s="1">
        <v>276</v>
      </c>
      <c r="T128" s="1">
        <v>276</v>
      </c>
      <c r="U128" s="1">
        <v>0</v>
      </c>
      <c r="V128" s="1">
        <v>395431.14559999999</v>
      </c>
    </row>
    <row r="129" spans="1:22" x14ac:dyDescent="0.25">
      <c r="A129">
        <v>2022</v>
      </c>
      <c r="B129">
        <v>4</v>
      </c>
      <c r="C129" t="s">
        <v>28</v>
      </c>
      <c r="D129" t="s">
        <v>46</v>
      </c>
      <c r="E129" s="1">
        <v>3411539.3840000001</v>
      </c>
      <c r="F129" s="1">
        <v>2324459.716</v>
      </c>
      <c r="G129" s="1">
        <v>1086367.531</v>
      </c>
      <c r="H129" s="1">
        <v>712.13737100000003</v>
      </c>
      <c r="I129" s="1">
        <v>607534.13089999999</v>
      </c>
      <c r="J129" s="1">
        <v>223216.91380000001</v>
      </c>
      <c r="K129" s="1">
        <v>384317.217</v>
      </c>
      <c r="L129" s="1">
        <v>2790299.4610000001</v>
      </c>
      <c r="M129" s="1">
        <v>712.13737100000003</v>
      </c>
      <c r="N129" s="1">
        <v>0</v>
      </c>
      <c r="O129" s="1">
        <v>179868.56390000001</v>
      </c>
      <c r="P129" s="1">
        <v>140411.77429999999</v>
      </c>
      <c r="Q129" s="1">
        <v>39456.789599999996</v>
      </c>
      <c r="R129" s="1">
        <v>43187.349929999997</v>
      </c>
      <c r="S129" s="1">
        <v>161</v>
      </c>
      <c r="T129" s="1">
        <v>161</v>
      </c>
      <c r="U129" s="1">
        <v>0</v>
      </c>
      <c r="V129" s="1">
        <v>383605.0797</v>
      </c>
    </row>
    <row r="130" spans="1:22" x14ac:dyDescent="0.25">
      <c r="A130">
        <v>2022</v>
      </c>
      <c r="B130">
        <v>5</v>
      </c>
      <c r="C130" t="s">
        <v>29</v>
      </c>
      <c r="D130" t="s">
        <v>46</v>
      </c>
      <c r="E130" s="1">
        <v>3387674.5920000002</v>
      </c>
      <c r="F130" s="1">
        <v>2790299.4610000001</v>
      </c>
      <c r="G130" s="1">
        <v>596827.81499999994</v>
      </c>
      <c r="H130" s="1">
        <v>547.31600400000002</v>
      </c>
      <c r="I130" s="1">
        <v>455233.8026</v>
      </c>
      <c r="J130" s="1">
        <v>209091.75599999999</v>
      </c>
      <c r="K130" s="1">
        <v>246142.0466</v>
      </c>
      <c r="L130" s="1">
        <v>2925444.5210000002</v>
      </c>
      <c r="M130" s="1">
        <v>547.31600400000002</v>
      </c>
      <c r="N130" s="1">
        <v>0</v>
      </c>
      <c r="O130" s="1">
        <v>170305.8916</v>
      </c>
      <c r="P130" s="1">
        <v>105392.7196</v>
      </c>
      <c r="Q130" s="1">
        <v>64913.171999999999</v>
      </c>
      <c r="R130" s="1">
        <v>38686.083749999998</v>
      </c>
      <c r="S130" s="1">
        <v>99.780720000000002</v>
      </c>
      <c r="T130" s="1">
        <v>99.780720000000002</v>
      </c>
      <c r="U130" s="1">
        <v>0</v>
      </c>
      <c r="V130" s="1">
        <v>245594.73060000001</v>
      </c>
    </row>
    <row r="131" spans="1:22" x14ac:dyDescent="0.25">
      <c r="A131">
        <v>2022</v>
      </c>
      <c r="B131">
        <v>6</v>
      </c>
      <c r="C131" t="s">
        <v>30</v>
      </c>
      <c r="D131" t="s">
        <v>46</v>
      </c>
      <c r="E131" s="1">
        <v>3026349.4709999999</v>
      </c>
      <c r="F131" s="1">
        <v>2925444.5210000002</v>
      </c>
      <c r="G131" s="1">
        <v>100218.83500000001</v>
      </c>
      <c r="H131" s="1">
        <v>686.11417659999995</v>
      </c>
      <c r="I131" s="1">
        <v>570758.29260000004</v>
      </c>
      <c r="J131" s="1">
        <v>175508.13190000001</v>
      </c>
      <c r="K131" s="1">
        <v>395250.16070000001</v>
      </c>
      <c r="L131" s="1">
        <v>2435067.4470000002</v>
      </c>
      <c r="M131" s="1">
        <v>686.11417659999995</v>
      </c>
      <c r="N131" s="1">
        <v>0</v>
      </c>
      <c r="O131" s="1">
        <v>130904.7644</v>
      </c>
      <c r="P131" s="1">
        <v>112814.00199999999</v>
      </c>
      <c r="Q131" s="1">
        <v>18090.7624</v>
      </c>
      <c r="R131" s="1">
        <v>44443.367469999997</v>
      </c>
      <c r="S131" s="1">
        <v>160</v>
      </c>
      <c r="T131" s="1">
        <v>160</v>
      </c>
      <c r="U131" s="1">
        <v>0</v>
      </c>
      <c r="V131" s="1">
        <v>394564.0465</v>
      </c>
    </row>
    <row r="132" spans="1:22" x14ac:dyDescent="0.25">
      <c r="A132">
        <v>2022</v>
      </c>
      <c r="B132">
        <v>7</v>
      </c>
      <c r="C132" t="s">
        <v>31</v>
      </c>
      <c r="D132" t="s">
        <v>46</v>
      </c>
      <c r="E132" s="1">
        <v>2445296.4419999998</v>
      </c>
      <c r="F132" s="1">
        <v>2435067.4470000002</v>
      </c>
      <c r="G132" s="1">
        <v>9707.26</v>
      </c>
      <c r="H132" s="1">
        <v>521.73518130000002</v>
      </c>
      <c r="I132" s="1">
        <v>458485.15820000001</v>
      </c>
      <c r="J132" s="1">
        <v>124938.75380000001</v>
      </c>
      <c r="K132" s="1">
        <v>333546.4044</v>
      </c>
      <c r="L132" s="1">
        <v>1979887.2479999999</v>
      </c>
      <c r="M132" s="1">
        <v>521.73518130000002</v>
      </c>
      <c r="N132" s="1">
        <v>0</v>
      </c>
      <c r="O132" s="1">
        <v>86744.332769999994</v>
      </c>
      <c r="P132" s="1">
        <v>75612.58077</v>
      </c>
      <c r="Q132" s="1">
        <v>11131.752</v>
      </c>
      <c r="R132" s="1">
        <v>38094.821020000003</v>
      </c>
      <c r="S132" s="1">
        <v>99.6</v>
      </c>
      <c r="T132" s="1">
        <v>99.6</v>
      </c>
      <c r="U132" s="1">
        <v>0</v>
      </c>
      <c r="V132" s="1">
        <v>333024.6692</v>
      </c>
    </row>
    <row r="133" spans="1:22" x14ac:dyDescent="0.25">
      <c r="A133">
        <v>2022</v>
      </c>
      <c r="B133">
        <v>8</v>
      </c>
      <c r="C133" t="s">
        <v>32</v>
      </c>
      <c r="D133" t="s">
        <v>46</v>
      </c>
      <c r="E133" s="1">
        <v>1980691.95</v>
      </c>
      <c r="F133" s="1">
        <v>1979887.2479999999</v>
      </c>
      <c r="G133" s="1">
        <v>0</v>
      </c>
      <c r="H133" s="1">
        <v>804.701686</v>
      </c>
      <c r="I133" s="1">
        <v>545449.92070000002</v>
      </c>
      <c r="J133" s="1">
        <v>220646.80309999999</v>
      </c>
      <c r="K133" s="1">
        <v>324803.1176</v>
      </c>
      <c r="L133" s="1">
        <v>1430810.054</v>
      </c>
      <c r="M133" s="1">
        <v>804.701686</v>
      </c>
      <c r="N133" s="1">
        <v>0</v>
      </c>
      <c r="O133" s="1">
        <v>167388.70439999999</v>
      </c>
      <c r="P133" s="1">
        <v>165208.67240000001</v>
      </c>
      <c r="Q133" s="1">
        <v>2180.0320000000002</v>
      </c>
      <c r="R133" s="1">
        <v>52394.098660000003</v>
      </c>
      <c r="S133" s="1">
        <v>864</v>
      </c>
      <c r="T133" s="1">
        <v>100</v>
      </c>
      <c r="U133" s="1">
        <v>764</v>
      </c>
      <c r="V133" s="1">
        <v>323998.41590000002</v>
      </c>
    </row>
    <row r="134" spans="1:22" x14ac:dyDescent="0.25">
      <c r="A134">
        <v>2022</v>
      </c>
      <c r="B134">
        <v>9</v>
      </c>
      <c r="C134" t="s">
        <v>33</v>
      </c>
      <c r="D134" t="s">
        <v>46</v>
      </c>
      <c r="E134" s="1">
        <v>1431235.335</v>
      </c>
      <c r="F134" s="1">
        <v>1430810.054</v>
      </c>
      <c r="G134" s="1">
        <v>0</v>
      </c>
      <c r="H134" s="1">
        <v>425.28126880000002</v>
      </c>
      <c r="I134" s="1">
        <v>458390.29</v>
      </c>
      <c r="J134" s="1">
        <v>132382.65330000001</v>
      </c>
      <c r="K134" s="1">
        <v>326007.63669999997</v>
      </c>
      <c r="L134" s="1">
        <v>964272.65430000005</v>
      </c>
      <c r="M134" s="1">
        <v>425.28126880000002</v>
      </c>
      <c r="N134" s="1">
        <v>0</v>
      </c>
      <c r="O134" s="1">
        <v>65825.671000000002</v>
      </c>
      <c r="P134" s="1">
        <v>60003.065000000002</v>
      </c>
      <c r="Q134" s="1">
        <v>5822.6059999999998</v>
      </c>
      <c r="R134" s="1">
        <v>66317.701920000007</v>
      </c>
      <c r="S134" s="1">
        <v>239.28036</v>
      </c>
      <c r="T134" s="1">
        <v>159.78036</v>
      </c>
      <c r="U134" s="1">
        <v>79.5</v>
      </c>
      <c r="V134" s="1">
        <v>325582.3554</v>
      </c>
    </row>
    <row r="135" spans="1:22" x14ac:dyDescent="0.25">
      <c r="A135">
        <v>2022</v>
      </c>
      <c r="B135">
        <v>10</v>
      </c>
      <c r="C135" t="s">
        <v>22</v>
      </c>
      <c r="D135" t="s">
        <v>46</v>
      </c>
      <c r="E135" s="1">
        <v>964895.15910000005</v>
      </c>
      <c r="F135" s="1">
        <v>964272.65430000005</v>
      </c>
      <c r="G135" s="1">
        <v>0</v>
      </c>
      <c r="H135" s="1">
        <v>622.50477720000004</v>
      </c>
      <c r="I135" s="1">
        <v>376046.86109999998</v>
      </c>
      <c r="J135" s="1">
        <v>36893.362630000003</v>
      </c>
      <c r="K135" s="1">
        <v>339153.49849999999</v>
      </c>
      <c r="L135" s="1">
        <v>587925.24399999995</v>
      </c>
      <c r="M135" s="1">
        <v>622.50477720000004</v>
      </c>
      <c r="N135" s="1">
        <v>0</v>
      </c>
      <c r="O135" s="1">
        <v>2748.8047999999999</v>
      </c>
      <c r="P135" s="1">
        <v>2281.056</v>
      </c>
      <c r="Q135" s="1">
        <v>467.74880000000002</v>
      </c>
      <c r="R135" s="1">
        <v>33574.957829999999</v>
      </c>
      <c r="S135" s="1">
        <v>569.6</v>
      </c>
      <c r="T135" s="1">
        <v>0</v>
      </c>
      <c r="U135" s="1">
        <v>569.6</v>
      </c>
      <c r="V135" s="1">
        <v>338530.99369999999</v>
      </c>
    </row>
    <row r="136" spans="1:22" x14ac:dyDescent="0.25">
      <c r="A136">
        <v>2022</v>
      </c>
      <c r="B136">
        <v>11</v>
      </c>
      <c r="C136" t="s">
        <v>23</v>
      </c>
      <c r="D136" t="s">
        <v>46</v>
      </c>
      <c r="E136" s="1">
        <v>717151.44759999996</v>
      </c>
      <c r="F136" s="1">
        <v>587925.24399999995</v>
      </c>
      <c r="G136" s="1">
        <v>128564.416</v>
      </c>
      <c r="H136" s="1">
        <v>661.78759400000001</v>
      </c>
      <c r="I136" s="1">
        <v>377907.60060000001</v>
      </c>
      <c r="J136" s="1">
        <v>62218.563719999998</v>
      </c>
      <c r="K136" s="1">
        <v>315689.03690000001</v>
      </c>
      <c r="L136" s="1">
        <v>339243.84700000001</v>
      </c>
      <c r="M136" s="1">
        <v>661.78759400000001</v>
      </c>
      <c r="N136" s="1">
        <v>0</v>
      </c>
      <c r="O136" s="1">
        <v>28317.317500000001</v>
      </c>
      <c r="P136" s="1">
        <v>27256.709500000001</v>
      </c>
      <c r="Q136" s="1">
        <v>1060.6079999999999</v>
      </c>
      <c r="R136" s="1">
        <v>33587.22322</v>
      </c>
      <c r="S136" s="1">
        <v>314.02300000000002</v>
      </c>
      <c r="T136" s="1">
        <v>314.02300000000002</v>
      </c>
      <c r="U136" s="1">
        <v>0</v>
      </c>
      <c r="V136" s="1">
        <v>315027.24930000002</v>
      </c>
    </row>
    <row r="137" spans="1:22" x14ac:dyDescent="0.25">
      <c r="A137">
        <v>2022</v>
      </c>
      <c r="B137">
        <v>12</v>
      </c>
      <c r="C137" t="s">
        <v>24</v>
      </c>
      <c r="D137" t="s">
        <v>46</v>
      </c>
      <c r="E137" s="1">
        <v>1068236.3810000001</v>
      </c>
      <c r="F137" s="1">
        <v>339243.84700000001</v>
      </c>
      <c r="G137" s="1">
        <v>728641.83200000005</v>
      </c>
      <c r="H137" s="1">
        <v>350.70200260000001</v>
      </c>
      <c r="I137" s="1">
        <v>414555.3063</v>
      </c>
      <c r="J137" s="1">
        <v>98224.520619999996</v>
      </c>
      <c r="K137" s="1">
        <v>316330.78570000001</v>
      </c>
      <c r="L137" s="1">
        <v>653681.0747</v>
      </c>
      <c r="M137" s="1">
        <v>350.70200260000001</v>
      </c>
      <c r="N137" s="1">
        <v>0</v>
      </c>
      <c r="O137" s="1">
        <v>65017.944779999998</v>
      </c>
      <c r="P137" s="1">
        <v>64395.912779999999</v>
      </c>
      <c r="Q137" s="1">
        <v>622.03200000000004</v>
      </c>
      <c r="R137" s="1">
        <v>32427.815839999999</v>
      </c>
      <c r="S137" s="1">
        <v>778.76</v>
      </c>
      <c r="T137" s="1">
        <v>778.76</v>
      </c>
      <c r="U137" s="1">
        <v>0</v>
      </c>
      <c r="V137" s="1">
        <v>315980.08360000001</v>
      </c>
    </row>
    <row r="138" spans="1:22" x14ac:dyDescent="0.25">
      <c r="A138">
        <v>2023</v>
      </c>
      <c r="B138">
        <v>1</v>
      </c>
      <c r="C138" t="s">
        <v>25</v>
      </c>
      <c r="D138" t="s">
        <v>46</v>
      </c>
      <c r="E138" s="1">
        <v>1714226.4909999999</v>
      </c>
      <c r="F138" s="1">
        <v>653681.0747</v>
      </c>
      <c r="G138" s="1">
        <v>1060226.145</v>
      </c>
      <c r="H138" s="1">
        <v>319.27150599999999</v>
      </c>
      <c r="I138" s="1">
        <v>588214.32620000001</v>
      </c>
      <c r="J138" s="1">
        <v>190858.48639999999</v>
      </c>
      <c r="K138" s="1">
        <v>397355.83980000002</v>
      </c>
      <c r="L138" s="1">
        <v>1125941.656</v>
      </c>
      <c r="M138" s="1">
        <v>319.27150599999999</v>
      </c>
      <c r="N138" s="1">
        <v>0</v>
      </c>
      <c r="O138" s="1">
        <v>161125.61499999999</v>
      </c>
      <c r="P138" s="1">
        <v>161125.61499999999</v>
      </c>
      <c r="Q138" s="1">
        <v>0</v>
      </c>
      <c r="R138" s="1">
        <v>29554.11146</v>
      </c>
      <c r="S138" s="1">
        <v>178.76</v>
      </c>
      <c r="T138" s="1">
        <v>178.76</v>
      </c>
      <c r="U138" s="1">
        <v>0</v>
      </c>
      <c r="V138" s="1">
        <v>397036.56829999998</v>
      </c>
    </row>
    <row r="139" spans="1:22" x14ac:dyDescent="0.25">
      <c r="A139">
        <v>2023</v>
      </c>
      <c r="B139">
        <v>2</v>
      </c>
      <c r="C139" t="s">
        <v>26</v>
      </c>
      <c r="D139" t="s">
        <v>46</v>
      </c>
      <c r="E139" s="1">
        <v>2148198.4339999999</v>
      </c>
      <c r="F139" s="1">
        <v>1125941.656</v>
      </c>
      <c r="G139" s="1">
        <v>1021935.78</v>
      </c>
      <c r="H139" s="1">
        <v>320.99821980000002</v>
      </c>
      <c r="I139" s="1">
        <v>544038.03570000001</v>
      </c>
      <c r="J139" s="1">
        <v>205347.6727</v>
      </c>
      <c r="K139" s="1">
        <v>338690.36290000001</v>
      </c>
      <c r="L139" s="1">
        <v>1602864.399</v>
      </c>
      <c r="M139" s="1">
        <v>320.99821980000002</v>
      </c>
      <c r="N139" s="1">
        <v>0</v>
      </c>
      <c r="O139" s="1">
        <v>178224.10930000001</v>
      </c>
      <c r="P139" s="1">
        <v>177375.53649999999</v>
      </c>
      <c r="Q139" s="1">
        <v>848.57280000000003</v>
      </c>
      <c r="R139" s="1">
        <v>26643.563460000001</v>
      </c>
      <c r="S139" s="1">
        <v>480</v>
      </c>
      <c r="T139" s="1">
        <v>480</v>
      </c>
      <c r="U139" s="1">
        <v>0</v>
      </c>
      <c r="V139" s="1">
        <v>338369.36469999998</v>
      </c>
    </row>
    <row r="140" spans="1:22" x14ac:dyDescent="0.25">
      <c r="A140">
        <v>2023</v>
      </c>
      <c r="B140">
        <v>3</v>
      </c>
      <c r="C140" t="s">
        <v>27</v>
      </c>
      <c r="D140" t="s">
        <v>46</v>
      </c>
      <c r="E140" s="1">
        <v>2727196.2059999998</v>
      </c>
      <c r="F140" s="1">
        <v>1602864.399</v>
      </c>
      <c r="G140" s="1">
        <v>1122222.69</v>
      </c>
      <c r="H140" s="1">
        <v>2109.117088</v>
      </c>
      <c r="I140" s="1">
        <v>558689.21860000002</v>
      </c>
      <c r="J140" s="1">
        <v>177853.29680000001</v>
      </c>
      <c r="K140" s="1">
        <v>380835.92180000001</v>
      </c>
      <c r="L140" s="1">
        <v>2166835.4870000002</v>
      </c>
      <c r="M140" s="1">
        <v>2109.117088</v>
      </c>
      <c r="N140" s="1">
        <v>0</v>
      </c>
      <c r="O140" s="1">
        <v>137251.6586</v>
      </c>
      <c r="P140" s="1">
        <v>136424.98819999999</v>
      </c>
      <c r="Q140" s="1">
        <v>826.67039999999997</v>
      </c>
      <c r="R140" s="1">
        <v>40122.778209999997</v>
      </c>
      <c r="S140" s="1">
        <v>478.86</v>
      </c>
      <c r="T140" s="1">
        <v>478.76</v>
      </c>
      <c r="U140" s="1">
        <v>0.1</v>
      </c>
      <c r="V140" s="1">
        <v>378726.80469999998</v>
      </c>
    </row>
    <row r="141" spans="1:22" x14ac:dyDescent="0.25">
      <c r="A141">
        <v>2023</v>
      </c>
      <c r="B141">
        <v>4</v>
      </c>
      <c r="C141" t="s">
        <v>28</v>
      </c>
      <c r="D141" t="s">
        <v>46</v>
      </c>
      <c r="E141" s="1">
        <v>2995719.9879999999</v>
      </c>
      <c r="F141" s="1">
        <v>2166835.4870000002</v>
      </c>
      <c r="G141" s="1">
        <v>821798.02899999998</v>
      </c>
      <c r="H141" s="1">
        <v>7086.4717799999999</v>
      </c>
      <c r="I141" s="1">
        <v>487394.3088</v>
      </c>
      <c r="J141" s="1">
        <v>123364.7497</v>
      </c>
      <c r="K141" s="1">
        <v>364029.55910000001</v>
      </c>
      <c r="L141" s="1">
        <v>2507802.7420000001</v>
      </c>
      <c r="M141" s="1">
        <v>7086.4717799999999</v>
      </c>
      <c r="N141" s="1">
        <v>0</v>
      </c>
      <c r="O141" s="1">
        <v>99449.552679999993</v>
      </c>
      <c r="P141" s="1">
        <v>89967.492679999996</v>
      </c>
      <c r="Q141" s="1">
        <v>9482.06</v>
      </c>
      <c r="R141" s="1">
        <v>23875.19702</v>
      </c>
      <c r="S141" s="1">
        <v>40</v>
      </c>
      <c r="T141" s="1">
        <v>40</v>
      </c>
      <c r="U141" s="1">
        <v>0</v>
      </c>
      <c r="V141" s="1">
        <v>356943.08730000001</v>
      </c>
    </row>
    <row r="142" spans="1:22" x14ac:dyDescent="0.25">
      <c r="A142">
        <v>2023</v>
      </c>
      <c r="B142">
        <v>5</v>
      </c>
      <c r="C142" t="s">
        <v>29</v>
      </c>
      <c r="D142" t="s">
        <v>46</v>
      </c>
      <c r="E142" s="1">
        <v>2859463.8480000002</v>
      </c>
      <c r="F142" s="1">
        <v>2507802.7420000001</v>
      </c>
      <c r="G142" s="1">
        <v>322316.17300000001</v>
      </c>
      <c r="H142" s="1">
        <v>29344.93333</v>
      </c>
      <c r="I142" s="1">
        <v>577226.40579999995</v>
      </c>
      <c r="J142" s="1">
        <v>119075.7908</v>
      </c>
      <c r="K142" s="1">
        <v>458150.61499999999</v>
      </c>
      <c r="L142" s="1">
        <v>2281150.8429999999</v>
      </c>
      <c r="M142" s="1">
        <v>29344.93333</v>
      </c>
      <c r="N142" s="1">
        <v>0</v>
      </c>
      <c r="O142" s="1">
        <v>84754.880279999998</v>
      </c>
      <c r="P142" s="1">
        <v>83708.807480000003</v>
      </c>
      <c r="Q142" s="1">
        <v>1046.0727999999999</v>
      </c>
      <c r="R142" s="1">
        <v>34180.910479999999</v>
      </c>
      <c r="S142" s="1">
        <v>140</v>
      </c>
      <c r="T142" s="1">
        <v>140</v>
      </c>
      <c r="U142" s="1">
        <v>0</v>
      </c>
      <c r="V142" s="1">
        <v>428805.68170000002</v>
      </c>
    </row>
    <row r="143" spans="1:22" x14ac:dyDescent="0.25">
      <c r="A143">
        <v>2023</v>
      </c>
      <c r="B143">
        <v>6</v>
      </c>
      <c r="C143" t="s">
        <v>30</v>
      </c>
      <c r="D143" t="s">
        <v>46</v>
      </c>
      <c r="E143" s="1">
        <v>2355462.8530000001</v>
      </c>
      <c r="F143" s="1">
        <v>2281150.8429999999</v>
      </c>
      <c r="G143" s="1">
        <v>18542.7</v>
      </c>
      <c r="H143" s="1">
        <v>55769.310129999998</v>
      </c>
      <c r="I143" s="1">
        <v>505031.7697</v>
      </c>
      <c r="J143" s="1">
        <v>161030.29860000001</v>
      </c>
      <c r="K143" s="1">
        <v>344001.47110000002</v>
      </c>
      <c r="L143" s="1">
        <v>1850079.693</v>
      </c>
      <c r="M143" s="1">
        <v>55769.310129999998</v>
      </c>
      <c r="N143" s="1">
        <v>0</v>
      </c>
      <c r="O143" s="1">
        <v>131839.1329</v>
      </c>
      <c r="P143" s="1">
        <v>130753.48609999999</v>
      </c>
      <c r="Q143" s="1">
        <v>1085.6468</v>
      </c>
      <c r="R143" s="1">
        <v>29171.16574</v>
      </c>
      <c r="S143" s="1">
        <v>20</v>
      </c>
      <c r="T143" s="1">
        <v>20</v>
      </c>
      <c r="U143" s="1">
        <v>0</v>
      </c>
      <c r="V143" s="1">
        <v>288232.16100000002</v>
      </c>
    </row>
    <row r="144" spans="1:22" x14ac:dyDescent="0.25">
      <c r="A144">
        <v>2023</v>
      </c>
      <c r="B144">
        <v>7</v>
      </c>
      <c r="C144" t="s">
        <v>31</v>
      </c>
      <c r="D144" t="s">
        <v>46</v>
      </c>
      <c r="E144" s="1">
        <v>1923102.128</v>
      </c>
      <c r="F144" s="1">
        <v>1850079.693</v>
      </c>
      <c r="G144" s="1">
        <v>0</v>
      </c>
      <c r="H144" s="1">
        <v>73022.43492</v>
      </c>
      <c r="I144" s="1">
        <v>441818.83889999997</v>
      </c>
      <c r="J144" s="1">
        <v>80440.870299999995</v>
      </c>
      <c r="K144" s="1">
        <v>361377.96860000002</v>
      </c>
      <c r="L144" s="1">
        <v>1481283.2890000001</v>
      </c>
      <c r="M144" s="1">
        <v>73022.43492</v>
      </c>
      <c r="N144" s="1">
        <v>0</v>
      </c>
      <c r="O144" s="1">
        <v>52039.393559999997</v>
      </c>
      <c r="P144" s="1">
        <v>52039.393559999997</v>
      </c>
      <c r="Q144" s="1">
        <v>0</v>
      </c>
      <c r="R144" s="1">
        <v>28401.226739999998</v>
      </c>
      <c r="S144" s="1">
        <v>0.25</v>
      </c>
      <c r="T144" s="1">
        <v>0</v>
      </c>
      <c r="U144" s="1">
        <v>0.25</v>
      </c>
      <c r="V144" s="1">
        <v>288355.53370000003</v>
      </c>
    </row>
    <row r="145" spans="1:22" x14ac:dyDescent="0.25">
      <c r="A145">
        <v>2023</v>
      </c>
      <c r="B145">
        <v>8</v>
      </c>
      <c r="C145" t="s">
        <v>32</v>
      </c>
      <c r="D145" t="s">
        <v>46</v>
      </c>
      <c r="E145" s="1">
        <v>1535049.87</v>
      </c>
      <c r="F145" s="1">
        <v>1481283.2890000001</v>
      </c>
      <c r="G145" s="1">
        <v>0</v>
      </c>
      <c r="H145" s="1">
        <v>53766.580710000002</v>
      </c>
      <c r="I145" s="1">
        <v>414105.45169999998</v>
      </c>
      <c r="J145" s="1">
        <v>105805.2616</v>
      </c>
      <c r="K145" s="1">
        <v>308300.19010000001</v>
      </c>
      <c r="L145" s="1">
        <v>1120944.4180000001</v>
      </c>
      <c r="M145" s="1">
        <v>53766.580710000002</v>
      </c>
      <c r="N145" s="1">
        <v>0</v>
      </c>
      <c r="O145" s="1">
        <v>68606.728080000001</v>
      </c>
      <c r="P145" s="1">
        <v>68606.728080000001</v>
      </c>
      <c r="Q145" s="1">
        <v>0</v>
      </c>
      <c r="R145" s="1">
        <v>37178.53357</v>
      </c>
      <c r="S145" s="1">
        <v>20</v>
      </c>
      <c r="T145" s="1">
        <v>20</v>
      </c>
      <c r="U145" s="1">
        <v>0</v>
      </c>
      <c r="V145" s="1">
        <v>254533.60939999999</v>
      </c>
    </row>
    <row r="146" spans="1:22" x14ac:dyDescent="0.25">
      <c r="A146">
        <v>2023</v>
      </c>
      <c r="B146">
        <v>9</v>
      </c>
      <c r="C146" t="s">
        <v>33</v>
      </c>
      <c r="D146" t="s">
        <v>46</v>
      </c>
      <c r="E146" s="1">
        <v>1164082.8640000001</v>
      </c>
      <c r="F146" s="1">
        <v>1120944.4180000001</v>
      </c>
      <c r="G146" s="1">
        <v>0</v>
      </c>
      <c r="H146" s="1">
        <v>43138.445610000002</v>
      </c>
      <c r="I146" s="1">
        <v>328992.04810000001</v>
      </c>
      <c r="J146" s="1">
        <v>59708.74596</v>
      </c>
      <c r="K146" s="1">
        <v>269283.30209999997</v>
      </c>
      <c r="L146" s="1">
        <v>835090.81550000003</v>
      </c>
      <c r="M146" s="1">
        <v>43138.445610000002</v>
      </c>
      <c r="N146" s="1">
        <v>0</v>
      </c>
      <c r="O146" s="1">
        <v>21681.110120000001</v>
      </c>
      <c r="P146" s="1">
        <v>21681.110120000001</v>
      </c>
      <c r="Q146" s="1">
        <v>0</v>
      </c>
      <c r="R146" s="1">
        <v>38027.635840000003</v>
      </c>
      <c r="S146" s="1">
        <v>0</v>
      </c>
      <c r="T146" s="1">
        <v>0</v>
      </c>
      <c r="U146" s="1">
        <v>0</v>
      </c>
      <c r="V146" s="1">
        <v>226144.85649999999</v>
      </c>
    </row>
    <row r="147" spans="1:22" x14ac:dyDescent="0.25">
      <c r="A147">
        <v>2023</v>
      </c>
      <c r="B147">
        <v>10</v>
      </c>
      <c r="C147" t="s">
        <v>22</v>
      </c>
      <c r="D147" t="s">
        <v>46</v>
      </c>
      <c r="E147" s="1">
        <v>876466.75069999998</v>
      </c>
      <c r="F147" s="1">
        <v>835090.81550000003</v>
      </c>
      <c r="G147" s="1">
        <v>0</v>
      </c>
      <c r="H147" s="1">
        <v>41375.935219999999</v>
      </c>
      <c r="I147" s="1">
        <v>338982.45370000001</v>
      </c>
      <c r="J147" s="1">
        <v>22684.58065</v>
      </c>
      <c r="K147" s="1">
        <v>316297.87310000003</v>
      </c>
      <c r="L147" s="1">
        <v>537465.66099999996</v>
      </c>
      <c r="M147" s="1">
        <v>41375.935219999999</v>
      </c>
      <c r="N147" s="1">
        <v>0</v>
      </c>
      <c r="O147" s="1">
        <v>0</v>
      </c>
      <c r="P147" s="1">
        <v>0</v>
      </c>
      <c r="Q147" s="1">
        <v>0</v>
      </c>
      <c r="R147" s="1">
        <v>22684.58065</v>
      </c>
      <c r="S147" s="1">
        <v>0</v>
      </c>
      <c r="T147" s="1">
        <v>0</v>
      </c>
      <c r="U147" s="1">
        <v>0</v>
      </c>
      <c r="V147" s="1">
        <v>274921.93790000002</v>
      </c>
    </row>
    <row r="148" spans="1:22" x14ac:dyDescent="0.25">
      <c r="A148">
        <v>2023</v>
      </c>
      <c r="B148">
        <v>11</v>
      </c>
      <c r="C148" t="s">
        <v>23</v>
      </c>
      <c r="D148" t="s">
        <v>46</v>
      </c>
      <c r="E148" s="1">
        <v>713511.23470000003</v>
      </c>
      <c r="F148" s="1">
        <v>537465.66099999996</v>
      </c>
      <c r="G148" s="1">
        <v>83231.13</v>
      </c>
      <c r="H148" s="1">
        <v>92814.443650000001</v>
      </c>
      <c r="I148" s="1">
        <v>380648.32069999998</v>
      </c>
      <c r="J148" s="1">
        <v>40329.935219999999</v>
      </c>
      <c r="K148" s="1">
        <v>340318.38540000003</v>
      </c>
      <c r="L148" s="1">
        <v>332862.91399999999</v>
      </c>
      <c r="M148" s="1">
        <v>92814.443650000001</v>
      </c>
      <c r="N148" s="1">
        <v>0</v>
      </c>
      <c r="O148" s="1">
        <v>18534.356</v>
      </c>
      <c r="P148" s="1">
        <v>18534.356</v>
      </c>
      <c r="Q148" s="1">
        <v>0</v>
      </c>
      <c r="R148" s="1">
        <v>21795.57922</v>
      </c>
      <c r="S148" s="1">
        <v>0</v>
      </c>
      <c r="T148" s="1">
        <v>0</v>
      </c>
      <c r="U148" s="1">
        <v>0</v>
      </c>
      <c r="V148" s="1">
        <v>247503.9418</v>
      </c>
    </row>
    <row r="149" spans="1:22" x14ac:dyDescent="0.25">
      <c r="A149">
        <v>2023</v>
      </c>
      <c r="B149">
        <v>12</v>
      </c>
      <c r="C149" t="s">
        <v>24</v>
      </c>
      <c r="D149" t="s">
        <v>46</v>
      </c>
      <c r="E149" s="1">
        <v>941001.25419999997</v>
      </c>
      <c r="F149" s="1">
        <v>332862.91399999999</v>
      </c>
      <c r="G149" s="1">
        <v>539191.50600000005</v>
      </c>
      <c r="H149" s="1">
        <v>68946.834149999995</v>
      </c>
      <c r="I149" s="1">
        <v>394649.04590000003</v>
      </c>
      <c r="J149" s="1">
        <v>58086.478309999999</v>
      </c>
      <c r="K149" s="1">
        <v>336562.56760000001</v>
      </c>
      <c r="L149" s="1">
        <v>546352.20830000006</v>
      </c>
      <c r="M149" s="1">
        <v>68946.834149999995</v>
      </c>
      <c r="N149" s="1">
        <v>0</v>
      </c>
      <c r="O149" s="1">
        <v>41301.569000000003</v>
      </c>
      <c r="P149" s="1">
        <v>41301.569000000003</v>
      </c>
      <c r="Q149" s="1">
        <v>0</v>
      </c>
      <c r="R149" s="1">
        <v>16426.149310000001</v>
      </c>
      <c r="S149" s="1">
        <v>358.76</v>
      </c>
      <c r="T149" s="1">
        <v>358.76</v>
      </c>
      <c r="U149" s="1">
        <v>0</v>
      </c>
      <c r="V149" s="1">
        <v>267615.73340000003</v>
      </c>
    </row>
    <row r="150" spans="1:22" x14ac:dyDescent="0.25">
      <c r="A150">
        <v>2024</v>
      </c>
      <c r="B150">
        <v>1</v>
      </c>
      <c r="C150" t="s">
        <v>25</v>
      </c>
      <c r="D150" t="s">
        <v>46</v>
      </c>
      <c r="E150" s="1">
        <v>1490922.4950000001</v>
      </c>
      <c r="F150" s="1">
        <v>546352.20830000006</v>
      </c>
      <c r="G150" s="1">
        <v>850325.44900000002</v>
      </c>
      <c r="H150" s="1">
        <v>94244.837289999996</v>
      </c>
      <c r="I150" s="1">
        <v>499801.90950000001</v>
      </c>
      <c r="J150" s="1">
        <v>82343.35183</v>
      </c>
      <c r="K150" s="1">
        <v>417458.5577</v>
      </c>
      <c r="L150" s="1">
        <v>991120.58499999996</v>
      </c>
      <c r="M150" s="1">
        <v>94244.837289999996</v>
      </c>
      <c r="N150" s="1">
        <v>0</v>
      </c>
      <c r="O150" s="1">
        <v>60200.031000000003</v>
      </c>
      <c r="P150" s="1">
        <v>60200.031000000003</v>
      </c>
      <c r="Q150" s="1">
        <v>0</v>
      </c>
      <c r="R150" s="1">
        <v>22004.060829999999</v>
      </c>
      <c r="S150" s="1">
        <v>139.26</v>
      </c>
      <c r="T150" s="1">
        <v>138.76</v>
      </c>
      <c r="U150" s="1">
        <v>0.5</v>
      </c>
      <c r="V150" s="1">
        <v>323213.72039999999</v>
      </c>
    </row>
    <row r="151" spans="1:22" x14ac:dyDescent="0.25">
      <c r="A151">
        <v>2024</v>
      </c>
      <c r="B151">
        <v>2</v>
      </c>
      <c r="C151" t="s">
        <v>26</v>
      </c>
      <c r="D151" t="s">
        <v>46</v>
      </c>
      <c r="E151" s="1">
        <v>1995867.5970000001</v>
      </c>
      <c r="F151" s="1">
        <v>991120.58499999996</v>
      </c>
      <c r="G151" s="1">
        <v>930506.01300000004</v>
      </c>
      <c r="H151" s="1">
        <v>74240.999490000002</v>
      </c>
      <c r="I151" s="1">
        <v>509997.91850000003</v>
      </c>
      <c r="J151" s="1">
        <v>126942.5851</v>
      </c>
      <c r="K151" s="1">
        <v>383055.3334</v>
      </c>
      <c r="L151" s="1">
        <v>1485869.679</v>
      </c>
      <c r="M151" s="1">
        <v>74240.999490000002</v>
      </c>
      <c r="N151" s="1">
        <v>0</v>
      </c>
      <c r="O151" s="1">
        <v>108911.605</v>
      </c>
      <c r="P151" s="1">
        <v>108911.605</v>
      </c>
      <c r="Q151" s="1">
        <v>0</v>
      </c>
      <c r="R151" s="1">
        <v>17870.98011</v>
      </c>
      <c r="S151" s="1">
        <v>160</v>
      </c>
      <c r="T151" s="1">
        <v>160</v>
      </c>
      <c r="U151" s="1">
        <v>0</v>
      </c>
      <c r="V151" s="1">
        <v>308814.33390000003</v>
      </c>
    </row>
    <row r="152" spans="1:22" x14ac:dyDescent="0.25">
      <c r="A152">
        <v>2024</v>
      </c>
      <c r="B152">
        <v>3</v>
      </c>
      <c r="C152" t="s">
        <v>27</v>
      </c>
      <c r="D152" t="s">
        <v>46</v>
      </c>
      <c r="E152" s="1">
        <v>2532215.3990000002</v>
      </c>
      <c r="F152" s="1">
        <v>1485869.679</v>
      </c>
      <c r="G152" s="1">
        <v>982982.93900000001</v>
      </c>
      <c r="H152" s="1">
        <v>63362.781199999998</v>
      </c>
      <c r="I152" s="1">
        <v>457172.83419999998</v>
      </c>
      <c r="J152" s="1">
        <v>138723.93780000001</v>
      </c>
      <c r="K152" s="1">
        <v>318448.89640000003</v>
      </c>
      <c r="L152" s="1">
        <v>2075042.5649999999</v>
      </c>
      <c r="M152" s="1">
        <v>63362.781199999998</v>
      </c>
      <c r="N152" s="1">
        <v>0</v>
      </c>
      <c r="O152" s="1">
        <v>105103.06299999999</v>
      </c>
      <c r="P152" s="1">
        <v>105103.06299999999</v>
      </c>
      <c r="Q152" s="1">
        <v>0</v>
      </c>
      <c r="R152" s="1">
        <v>33520.874770000002</v>
      </c>
      <c r="S152" s="1">
        <v>100</v>
      </c>
      <c r="T152" s="1">
        <v>100</v>
      </c>
      <c r="U152" s="1">
        <v>0</v>
      </c>
      <c r="V152" s="1">
        <v>255086.1152</v>
      </c>
    </row>
    <row r="153" spans="1:22" x14ac:dyDescent="0.25">
      <c r="A153">
        <v>2024</v>
      </c>
      <c r="B153">
        <v>4</v>
      </c>
      <c r="C153" t="s">
        <v>28</v>
      </c>
      <c r="D153" t="s">
        <v>46</v>
      </c>
      <c r="E153" s="1">
        <v>3012859.054</v>
      </c>
      <c r="F153" s="1">
        <v>2075042.5649999999</v>
      </c>
      <c r="G153" s="1">
        <v>877670.62300000002</v>
      </c>
      <c r="H153" s="1">
        <v>60145.86623</v>
      </c>
      <c r="I153" s="1">
        <v>425549.90220000001</v>
      </c>
      <c r="J153" s="1">
        <v>35175.201459999997</v>
      </c>
      <c r="K153" s="1">
        <v>390374.70079999999</v>
      </c>
      <c r="L153" s="1">
        <v>2587309.1519999998</v>
      </c>
      <c r="M153" s="1">
        <v>60145.86623</v>
      </c>
      <c r="N153" s="1">
        <v>0</v>
      </c>
      <c r="O153" s="1">
        <v>12756.45</v>
      </c>
      <c r="P153" s="1">
        <v>12756.45</v>
      </c>
      <c r="Q153" s="1">
        <v>0</v>
      </c>
      <c r="R153" s="1">
        <v>22418.751459999999</v>
      </c>
      <c r="S153" s="1">
        <v>0</v>
      </c>
      <c r="T153" s="1">
        <v>0</v>
      </c>
      <c r="U153" s="1">
        <v>0</v>
      </c>
      <c r="V153" s="1">
        <v>330228.8345</v>
      </c>
    </row>
    <row r="154" spans="1:22" x14ac:dyDescent="0.25">
      <c r="A154">
        <v>2024</v>
      </c>
      <c r="B154">
        <v>5</v>
      </c>
      <c r="C154" t="s">
        <v>29</v>
      </c>
      <c r="D154" t="s">
        <v>46</v>
      </c>
      <c r="E154" s="1">
        <v>3045627.1290000002</v>
      </c>
      <c r="F154" s="1">
        <v>2587309.1519999998</v>
      </c>
      <c r="G154" s="1">
        <v>390430.11300000001</v>
      </c>
      <c r="H154" s="1">
        <v>67887.863949999999</v>
      </c>
      <c r="I154" s="1">
        <v>408708.1594</v>
      </c>
      <c r="J154" s="1">
        <v>74861.486309999993</v>
      </c>
      <c r="K154" s="1">
        <v>333846.67310000001</v>
      </c>
      <c r="L154" s="1">
        <v>2636918.9700000002</v>
      </c>
      <c r="M154" s="1">
        <v>67887.863949999999</v>
      </c>
      <c r="N154" s="1">
        <v>0</v>
      </c>
      <c r="O154" s="1">
        <v>58886.837</v>
      </c>
      <c r="P154" s="1">
        <v>58886.837</v>
      </c>
      <c r="Q154" s="1">
        <v>0</v>
      </c>
      <c r="R154" s="1">
        <v>15974.649310000001</v>
      </c>
      <c r="S154" s="1">
        <v>0</v>
      </c>
      <c r="T154" s="1">
        <v>0</v>
      </c>
      <c r="U154" s="1">
        <v>0</v>
      </c>
      <c r="V154" s="1">
        <v>265958.80920000002</v>
      </c>
    </row>
    <row r="155" spans="1:22" x14ac:dyDescent="0.25">
      <c r="A155">
        <v>2024</v>
      </c>
      <c r="B155">
        <v>6</v>
      </c>
      <c r="C155" t="s">
        <v>30</v>
      </c>
      <c r="D155" t="s">
        <v>46</v>
      </c>
      <c r="E155" s="1">
        <v>2726707.3289999999</v>
      </c>
      <c r="F155" s="1">
        <v>2636918.9700000002</v>
      </c>
      <c r="G155" s="1">
        <v>47266.559000000001</v>
      </c>
      <c r="H155" s="1">
        <v>42521.800309999999</v>
      </c>
      <c r="I155" s="1">
        <v>365156.51980000001</v>
      </c>
      <c r="J155" s="1">
        <v>41527.304909999999</v>
      </c>
      <c r="K155" s="1">
        <v>323629.21490000002</v>
      </c>
      <c r="L155" s="1">
        <v>2361550.8089999999</v>
      </c>
      <c r="M155" s="1">
        <v>42521.800309999999</v>
      </c>
      <c r="N155" s="1">
        <v>0</v>
      </c>
      <c r="O155" s="1">
        <v>17867.648000000001</v>
      </c>
      <c r="P155" s="1">
        <v>17867.648000000001</v>
      </c>
      <c r="Q155" s="1">
        <v>0</v>
      </c>
      <c r="R155" s="1">
        <v>23639.656910000002</v>
      </c>
      <c r="S155" s="1">
        <v>20</v>
      </c>
      <c r="T155" s="1">
        <v>20</v>
      </c>
      <c r="U155" s="1">
        <v>0</v>
      </c>
      <c r="V155" s="1">
        <v>281107.41460000002</v>
      </c>
    </row>
    <row r="156" spans="1:22" x14ac:dyDescent="0.25">
      <c r="A156">
        <v>2024</v>
      </c>
      <c r="B156">
        <v>7</v>
      </c>
      <c r="C156" t="s">
        <v>31</v>
      </c>
      <c r="D156" t="s">
        <v>46</v>
      </c>
      <c r="E156" s="1">
        <v>2408656.66</v>
      </c>
      <c r="F156" s="1">
        <v>2361550.8089999999</v>
      </c>
      <c r="G156" s="1">
        <v>1943.057</v>
      </c>
      <c r="H156" s="1">
        <v>45162.794099999999</v>
      </c>
      <c r="I156" s="1">
        <v>370069.28509999998</v>
      </c>
      <c r="J156" s="1">
        <v>27740.12343</v>
      </c>
      <c r="K156" s="1">
        <v>342329.1617</v>
      </c>
      <c r="L156" s="1">
        <v>2038473.0689999999</v>
      </c>
      <c r="M156" s="1">
        <v>45162.794099999999</v>
      </c>
      <c r="N156" s="1">
        <v>0</v>
      </c>
      <c r="O156" s="1">
        <v>9078.3790000000008</v>
      </c>
      <c r="P156" s="1">
        <v>9078.3790000000008</v>
      </c>
      <c r="Q156" s="1">
        <v>0</v>
      </c>
      <c r="R156" s="1">
        <v>18661.744429999999</v>
      </c>
      <c r="S156" s="1">
        <v>0</v>
      </c>
      <c r="T156" s="1">
        <v>0</v>
      </c>
      <c r="U156" s="1">
        <v>0</v>
      </c>
      <c r="V156" s="1">
        <v>297166.3676</v>
      </c>
    </row>
    <row r="157" spans="1:22" x14ac:dyDescent="0.25">
      <c r="A157">
        <v>2024</v>
      </c>
      <c r="B157">
        <v>8</v>
      </c>
      <c r="C157" t="s">
        <v>32</v>
      </c>
      <c r="D157" t="s">
        <v>46</v>
      </c>
      <c r="E157" s="1">
        <v>2078422.801</v>
      </c>
      <c r="F157" s="1">
        <v>2038473.0689999999</v>
      </c>
      <c r="G157" s="1">
        <v>0</v>
      </c>
      <c r="H157" s="1">
        <v>39949.732259999997</v>
      </c>
      <c r="I157" s="1">
        <v>355075.47730000003</v>
      </c>
      <c r="J157" s="1">
        <v>24866.47191</v>
      </c>
      <c r="K157" s="1">
        <v>330209.00540000002</v>
      </c>
      <c r="L157" s="1">
        <v>1723188.6029999999</v>
      </c>
      <c r="M157" s="1">
        <v>39949.732259999997</v>
      </c>
      <c r="N157" s="1">
        <v>0</v>
      </c>
      <c r="O157" s="1">
        <v>5917.8648499999999</v>
      </c>
      <c r="P157" s="1">
        <v>5917.8648499999999</v>
      </c>
      <c r="Q157" s="1">
        <v>0</v>
      </c>
      <c r="R157" s="1">
        <v>18948.607059999998</v>
      </c>
      <c r="S157" s="1">
        <v>0</v>
      </c>
      <c r="T157" s="1">
        <v>0</v>
      </c>
      <c r="U157" s="1">
        <v>0</v>
      </c>
      <c r="V157" s="1">
        <v>290259.27309999999</v>
      </c>
    </row>
    <row r="158" spans="1:22" x14ac:dyDescent="0.25">
      <c r="A158">
        <v>2024</v>
      </c>
      <c r="B158">
        <v>9</v>
      </c>
      <c r="C158" t="s">
        <v>33</v>
      </c>
      <c r="D158" t="s">
        <v>46</v>
      </c>
      <c r="E158" s="1">
        <v>1754059.2080000001</v>
      </c>
      <c r="F158" s="1">
        <v>1723188.6029999999</v>
      </c>
      <c r="G158" s="1">
        <v>0</v>
      </c>
      <c r="H158" s="1">
        <v>30870.60543</v>
      </c>
      <c r="I158" s="1">
        <v>335966.2856</v>
      </c>
      <c r="J158" s="1">
        <v>41942.414340000003</v>
      </c>
      <c r="K158" s="1">
        <v>294023.8713</v>
      </c>
      <c r="L158" s="1">
        <v>1417934.0719999999</v>
      </c>
      <c r="M158" s="1">
        <v>30870.60543</v>
      </c>
      <c r="N158" s="1">
        <v>0</v>
      </c>
      <c r="O158" s="1">
        <v>11452.031999999999</v>
      </c>
      <c r="P158" s="1">
        <v>11452.031999999999</v>
      </c>
      <c r="Q158" s="1">
        <v>0</v>
      </c>
      <c r="R158" s="1">
        <v>30452.900099999999</v>
      </c>
      <c r="S158" s="1">
        <v>37.482239999999997</v>
      </c>
      <c r="T158" s="1">
        <v>37.482239999999997</v>
      </c>
      <c r="U158" s="1">
        <v>0</v>
      </c>
      <c r="V158" s="1">
        <v>263153.2659</v>
      </c>
    </row>
    <row r="159" spans="1:22" x14ac:dyDescent="0.25">
      <c r="A159">
        <v>2024</v>
      </c>
      <c r="B159">
        <v>10</v>
      </c>
      <c r="C159" t="s">
        <v>22</v>
      </c>
      <c r="D159" t="s">
        <v>46</v>
      </c>
      <c r="E159" s="1">
        <v>1442847.746</v>
      </c>
      <c r="F159" s="1">
        <v>1417934.0719999999</v>
      </c>
      <c r="G159" s="1">
        <v>0</v>
      </c>
      <c r="H159" s="1">
        <v>24913.67455</v>
      </c>
      <c r="I159" s="1">
        <v>385513.1274</v>
      </c>
      <c r="J159" s="1">
        <v>16896.145649999999</v>
      </c>
      <c r="K159" s="1">
        <v>368616.9817</v>
      </c>
      <c r="L159" s="1">
        <v>1055082.378</v>
      </c>
      <c r="M159" s="1">
        <v>24913.67455</v>
      </c>
      <c r="N159" s="1">
        <v>0</v>
      </c>
      <c r="O159" s="1">
        <v>5000</v>
      </c>
      <c r="P159" s="1">
        <v>0</v>
      </c>
      <c r="Q159" s="1">
        <v>5000</v>
      </c>
      <c r="R159" s="1">
        <v>11896.14565</v>
      </c>
      <c r="S159" s="1">
        <v>0</v>
      </c>
      <c r="T159" s="1">
        <v>0</v>
      </c>
      <c r="U159" s="1">
        <v>0</v>
      </c>
      <c r="V159" s="1">
        <v>343703.30719999998</v>
      </c>
    </row>
    <row r="160" spans="1:22" x14ac:dyDescent="0.25">
      <c r="A160">
        <v>2024</v>
      </c>
      <c r="B160">
        <v>11</v>
      </c>
      <c r="C160" t="s">
        <v>23</v>
      </c>
      <c r="D160" t="s">
        <v>46</v>
      </c>
      <c r="E160" s="1">
        <v>1140243.1740000001</v>
      </c>
      <c r="F160" s="1">
        <v>1055082.378</v>
      </c>
      <c r="G160" s="1">
        <v>61557.197999999997</v>
      </c>
      <c r="H160" s="1">
        <v>23603.59822</v>
      </c>
      <c r="I160" s="1">
        <v>376772.88219999999</v>
      </c>
      <c r="J160" s="1">
        <v>75662.988830000002</v>
      </c>
      <c r="K160" s="1">
        <v>301109.8934</v>
      </c>
      <c r="L160" s="1">
        <v>755976.50600000005</v>
      </c>
      <c r="M160" s="1">
        <v>23603.59822</v>
      </c>
      <c r="N160" s="1">
        <v>0</v>
      </c>
      <c r="O160" s="1">
        <v>59065.11</v>
      </c>
      <c r="P160" s="1">
        <v>0</v>
      </c>
      <c r="Q160" s="1">
        <v>59065.11</v>
      </c>
      <c r="R160" s="1">
        <v>16597.878830000001</v>
      </c>
      <c r="S160" s="1">
        <v>0</v>
      </c>
      <c r="T160" s="1">
        <v>0</v>
      </c>
      <c r="U160" s="1">
        <v>0</v>
      </c>
      <c r="V160" s="1">
        <v>277506.29519999999</v>
      </c>
    </row>
    <row r="161" spans="1:22" x14ac:dyDescent="0.25">
      <c r="A161">
        <v>2024</v>
      </c>
      <c r="B161">
        <v>12</v>
      </c>
      <c r="C161" t="s">
        <v>24</v>
      </c>
      <c r="D161" t="s">
        <v>46</v>
      </c>
      <c r="E161" s="1">
        <v>1317252.2819999999</v>
      </c>
      <c r="F161" s="1">
        <v>755976.50600000005</v>
      </c>
      <c r="G161" s="1">
        <v>531230.36399999994</v>
      </c>
      <c r="H161" s="1">
        <v>30045.412049999999</v>
      </c>
      <c r="I161" s="1">
        <v>430423.45779999997</v>
      </c>
      <c r="J161" s="1">
        <v>72506.321379999994</v>
      </c>
      <c r="K161" s="1">
        <v>357917.13640000002</v>
      </c>
      <c r="L161" s="1">
        <v>879369.15330000001</v>
      </c>
      <c r="M161" s="1">
        <v>30045.412049999999</v>
      </c>
      <c r="N161" s="1">
        <v>0</v>
      </c>
      <c r="O161" s="1">
        <v>54350.517999999996</v>
      </c>
      <c r="P161" s="1">
        <v>17301.168000000001</v>
      </c>
      <c r="Q161" s="1">
        <v>37049.35</v>
      </c>
      <c r="R161" s="1">
        <v>17955.803380000001</v>
      </c>
      <c r="S161" s="1">
        <v>200</v>
      </c>
      <c r="T161" s="1">
        <v>200</v>
      </c>
      <c r="U161" s="1">
        <v>0</v>
      </c>
      <c r="V161" s="1">
        <v>327871.72440000001</v>
      </c>
    </row>
    <row r="162" spans="1:22" x14ac:dyDescent="0.25">
      <c r="A162">
        <v>2025</v>
      </c>
      <c r="B162">
        <v>1</v>
      </c>
      <c r="C162" t="s">
        <v>25</v>
      </c>
      <c r="D162" t="s">
        <v>46</v>
      </c>
      <c r="E162" s="1">
        <v>1754332.7779999999</v>
      </c>
      <c r="F162" s="1">
        <v>879369.15330000001</v>
      </c>
      <c r="G162" s="1">
        <v>862943.08600000001</v>
      </c>
      <c r="H162" s="1">
        <v>12020.53865</v>
      </c>
      <c r="I162" s="1">
        <v>418887.1189</v>
      </c>
      <c r="J162" s="1">
        <v>119319.15850000001</v>
      </c>
      <c r="K162" s="1">
        <v>299567.96039999998</v>
      </c>
      <c r="L162" s="1">
        <v>1322859.1089999999</v>
      </c>
      <c r="M162" s="1">
        <v>12020.53865</v>
      </c>
      <c r="N162" s="1">
        <v>0</v>
      </c>
      <c r="O162" s="1">
        <v>102050.715</v>
      </c>
      <c r="P162" s="1">
        <v>36350.714999999997</v>
      </c>
      <c r="Q162" s="1">
        <v>65700</v>
      </c>
      <c r="R162" s="1">
        <v>17208.443469999998</v>
      </c>
      <c r="S162" s="1">
        <v>60</v>
      </c>
      <c r="T162" s="1">
        <v>60</v>
      </c>
      <c r="U162" s="1">
        <v>0</v>
      </c>
      <c r="V162" s="1">
        <v>287547.42180000001</v>
      </c>
    </row>
    <row r="163" spans="1:22" x14ac:dyDescent="0.25">
      <c r="A163">
        <v>2025</v>
      </c>
      <c r="B163">
        <v>2</v>
      </c>
      <c r="C163" t="s">
        <v>26</v>
      </c>
      <c r="D163" t="s">
        <v>46</v>
      </c>
      <c r="E163" s="1">
        <v>2248271.7000000002</v>
      </c>
      <c r="F163" s="1">
        <v>1322859.1089999999</v>
      </c>
      <c r="G163" s="1">
        <v>911717.10400000005</v>
      </c>
      <c r="H163" s="1">
        <v>13695.48747</v>
      </c>
      <c r="I163" s="1">
        <v>431118.71049999999</v>
      </c>
      <c r="J163" s="1">
        <v>171770.11790000001</v>
      </c>
      <c r="K163" s="1">
        <v>259348.5926</v>
      </c>
      <c r="L163" s="1">
        <v>1817133.395</v>
      </c>
      <c r="M163" s="1">
        <v>13695.48747</v>
      </c>
      <c r="N163" s="1">
        <v>0</v>
      </c>
      <c r="O163" s="1">
        <v>144527.39980000001</v>
      </c>
      <c r="P163" s="1">
        <v>71487.399799999999</v>
      </c>
      <c r="Q163" s="1">
        <v>73040</v>
      </c>
      <c r="R163" s="1">
        <v>21634.044109999999</v>
      </c>
      <c r="S163" s="1">
        <v>5608.674</v>
      </c>
      <c r="T163" s="1">
        <v>40</v>
      </c>
      <c r="U163" s="1">
        <v>5568.674</v>
      </c>
      <c r="V163" s="1">
        <v>245653.10509999999</v>
      </c>
    </row>
    <row r="164" spans="1:22" x14ac:dyDescent="0.25">
      <c r="A164">
        <v>2025</v>
      </c>
      <c r="B164">
        <v>3</v>
      </c>
      <c r="C164" t="s">
        <v>27</v>
      </c>
      <c r="D164" t="s">
        <v>46</v>
      </c>
      <c r="E164" s="1">
        <v>2915237.679</v>
      </c>
      <c r="F164" s="1">
        <v>1817133.395</v>
      </c>
      <c r="G164" s="1">
        <v>1085141.7379999999</v>
      </c>
      <c r="H164" s="1">
        <v>12962.54624</v>
      </c>
      <c r="I164" s="1">
        <v>398039.47820000001</v>
      </c>
      <c r="J164" s="1">
        <v>71116.818119999996</v>
      </c>
      <c r="K164" s="1">
        <v>326922.66009999998</v>
      </c>
      <c r="L164" s="1">
        <v>2506343.219</v>
      </c>
      <c r="M164" s="1">
        <v>12962.54624</v>
      </c>
      <c r="N164" s="1">
        <v>0</v>
      </c>
      <c r="O164" s="1">
        <v>48217.398000000001</v>
      </c>
      <c r="P164" s="1">
        <v>38217.398000000001</v>
      </c>
      <c r="Q164" s="1">
        <v>10000</v>
      </c>
      <c r="R164" s="1">
        <v>22759.560119999998</v>
      </c>
      <c r="S164" s="1">
        <v>139.86000000000001</v>
      </c>
      <c r="T164" s="1">
        <v>139.86000000000001</v>
      </c>
      <c r="U164" s="1">
        <v>0</v>
      </c>
      <c r="V164" s="1">
        <v>313960.1139</v>
      </c>
    </row>
    <row r="165" spans="1:22" x14ac:dyDescent="0.25">
      <c r="A165">
        <v>2025</v>
      </c>
      <c r="B165">
        <v>4</v>
      </c>
      <c r="C165" t="s">
        <v>28</v>
      </c>
      <c r="D165" t="s">
        <v>46</v>
      </c>
      <c r="E165" s="1">
        <v>3392751.1719999998</v>
      </c>
      <c r="F165" s="1">
        <v>2506343.219</v>
      </c>
      <c r="G165" s="1">
        <v>877274.15700000001</v>
      </c>
      <c r="H165" s="1">
        <v>9133.7958629999994</v>
      </c>
      <c r="I165" s="1">
        <v>507263.17190000002</v>
      </c>
      <c r="J165" s="1">
        <v>93123.353669999997</v>
      </c>
      <c r="K165" s="1">
        <v>414139.81819999998</v>
      </c>
      <c r="L165" s="1">
        <v>2882041.1669999999</v>
      </c>
      <c r="M165" s="1">
        <v>9133.7958629999994</v>
      </c>
      <c r="N165" s="1">
        <v>0</v>
      </c>
      <c r="O165" s="1">
        <v>63129.532800000001</v>
      </c>
      <c r="P165" s="1">
        <v>57068.272799999999</v>
      </c>
      <c r="Q165" s="1">
        <v>6061.26</v>
      </c>
      <c r="R165" s="1">
        <v>29953.82087</v>
      </c>
      <c r="S165" s="1">
        <v>40</v>
      </c>
      <c r="T165" s="1">
        <v>40</v>
      </c>
      <c r="U165" s="1">
        <v>0</v>
      </c>
      <c r="V165" s="1">
        <v>405006.02230000001</v>
      </c>
    </row>
    <row r="166" spans="1:22" x14ac:dyDescent="0.25">
      <c r="A166">
        <v>2025</v>
      </c>
      <c r="B166">
        <v>5</v>
      </c>
      <c r="C166" t="s">
        <v>29</v>
      </c>
      <c r="D166" t="s">
        <v>46</v>
      </c>
      <c r="E166" s="1">
        <v>3288382.0520000001</v>
      </c>
      <c r="F166" s="1">
        <v>2882041.1669999999</v>
      </c>
      <c r="G166" s="1">
        <v>399118</v>
      </c>
      <c r="H166" s="1">
        <v>7222.8845179999998</v>
      </c>
      <c r="I166" s="1">
        <v>465451.81449999998</v>
      </c>
      <c r="J166" s="1">
        <v>196095.4051</v>
      </c>
      <c r="K166" s="1">
        <v>269356.4094</v>
      </c>
      <c r="L166" s="1">
        <v>2806670.6710000001</v>
      </c>
      <c r="M166" s="1">
        <v>7222.8845179999998</v>
      </c>
      <c r="N166" s="1">
        <v>0</v>
      </c>
      <c r="O166" s="1">
        <v>168096.761</v>
      </c>
      <c r="P166" s="1">
        <v>112447.88099999999</v>
      </c>
      <c r="Q166" s="1">
        <v>55648.88</v>
      </c>
      <c r="R166" s="1">
        <v>27998.644100000001</v>
      </c>
      <c r="S166" s="1">
        <v>0</v>
      </c>
      <c r="T166" s="1">
        <v>0</v>
      </c>
      <c r="U166" s="1">
        <v>0</v>
      </c>
      <c r="V166" s="1">
        <v>262133.52489999999</v>
      </c>
    </row>
    <row r="167" spans="1:22" x14ac:dyDescent="0.25">
      <c r="A167">
        <v>2025</v>
      </c>
      <c r="B167">
        <v>6</v>
      </c>
      <c r="C167" t="s">
        <v>30</v>
      </c>
      <c r="D167" t="s">
        <v>46</v>
      </c>
      <c r="E167" s="1">
        <v>2856155.6269999999</v>
      </c>
      <c r="F167" s="1">
        <v>2806670.6710000001</v>
      </c>
      <c r="G167" s="1">
        <v>38434.004000000001</v>
      </c>
      <c r="H167" s="1">
        <v>11050.95196</v>
      </c>
      <c r="I167" s="1">
        <v>463189.16200000001</v>
      </c>
      <c r="J167" s="1">
        <v>70312.012400000007</v>
      </c>
      <c r="K167" s="1">
        <v>392877.1496</v>
      </c>
      <c r="L167" s="1">
        <v>2392966.4649999999</v>
      </c>
      <c r="M167" s="1">
        <v>11050.95196</v>
      </c>
      <c r="N167" s="1">
        <v>0</v>
      </c>
      <c r="O167" s="1">
        <v>51299.116999999998</v>
      </c>
      <c r="P167" s="1">
        <v>16722.616999999998</v>
      </c>
      <c r="Q167" s="1">
        <v>34576.5</v>
      </c>
      <c r="R167" s="1">
        <v>18953.895400000001</v>
      </c>
      <c r="S167" s="1">
        <v>59</v>
      </c>
      <c r="T167" s="1">
        <v>59</v>
      </c>
      <c r="U167" s="1">
        <v>0</v>
      </c>
      <c r="V167" s="1">
        <v>381826.19760000001</v>
      </c>
    </row>
    <row r="168" spans="1:22" x14ac:dyDescent="0.25">
      <c r="A168">
        <v>2025</v>
      </c>
      <c r="B168">
        <v>7</v>
      </c>
      <c r="C168" t="s">
        <v>31</v>
      </c>
      <c r="D168" t="s">
        <v>46</v>
      </c>
      <c r="E168" s="1">
        <v>2406258.8139999998</v>
      </c>
      <c r="F168" s="1">
        <v>2392966.4649999999</v>
      </c>
      <c r="G168" s="1">
        <v>3109.7</v>
      </c>
      <c r="H168" s="1">
        <v>10182.64947</v>
      </c>
      <c r="I168" s="1">
        <v>426589.47850000003</v>
      </c>
      <c r="J168" s="1">
        <v>96365.753899999996</v>
      </c>
      <c r="K168" s="1">
        <v>330223.72460000002</v>
      </c>
      <c r="L168" s="1">
        <v>1971452.7279999999</v>
      </c>
      <c r="M168" s="1">
        <v>10182.64947</v>
      </c>
      <c r="N168" s="1">
        <v>0</v>
      </c>
      <c r="O168" s="1">
        <v>70535.408920000002</v>
      </c>
      <c r="P168" s="1">
        <v>37440.658920000002</v>
      </c>
      <c r="Q168" s="1">
        <v>33094.75</v>
      </c>
      <c r="R168" s="1">
        <v>25790.344980000002</v>
      </c>
      <c r="S168" s="1">
        <v>40</v>
      </c>
      <c r="T168" s="1">
        <v>40</v>
      </c>
      <c r="U168" s="1">
        <v>0</v>
      </c>
      <c r="V168" s="1">
        <v>320041.07510000002</v>
      </c>
    </row>
    <row r="169" spans="1:22" x14ac:dyDescent="0.25">
      <c r="A169">
        <v>2025</v>
      </c>
      <c r="B169">
        <v>8</v>
      </c>
      <c r="C169" t="s">
        <v>32</v>
      </c>
      <c r="D169" t="s">
        <v>46</v>
      </c>
      <c r="E169" s="1">
        <v>1977415.7420000001</v>
      </c>
      <c r="F169" s="1">
        <v>1971452.7279999999</v>
      </c>
      <c r="G169" s="1">
        <v>0</v>
      </c>
      <c r="H169" s="1">
        <v>5963.0142669999996</v>
      </c>
      <c r="I169" s="1">
        <v>356619.53029999998</v>
      </c>
      <c r="J169" s="1">
        <v>80752.867230000003</v>
      </c>
      <c r="K169" s="1">
        <v>275866.663</v>
      </c>
      <c r="L169" s="1">
        <v>1555663.6880000001</v>
      </c>
      <c r="M169" s="1">
        <v>5963.0142669999996</v>
      </c>
      <c r="N169" s="1">
        <v>0</v>
      </c>
      <c r="O169" s="1">
        <v>27801.884709999998</v>
      </c>
      <c r="P169" s="1">
        <v>14814.484710000001</v>
      </c>
      <c r="Q169" s="1">
        <v>12987.4</v>
      </c>
      <c r="R169" s="1">
        <v>52810.982519999998</v>
      </c>
      <c r="S169" s="1">
        <v>140</v>
      </c>
      <c r="T169" s="1">
        <v>140</v>
      </c>
      <c r="U169" s="1">
        <v>0</v>
      </c>
      <c r="V169" s="1">
        <v>269903.64880000002</v>
      </c>
    </row>
    <row r="170" spans="1:22" x14ac:dyDescent="0.25">
      <c r="A170">
        <v>2025</v>
      </c>
      <c r="B170">
        <v>9</v>
      </c>
      <c r="C170" t="s">
        <v>33</v>
      </c>
      <c r="D170" t="s">
        <v>46</v>
      </c>
      <c r="E170" s="1">
        <v>1561747.4129999999</v>
      </c>
      <c r="F170" s="1">
        <v>1555663.6880000001</v>
      </c>
      <c r="G170" s="1">
        <v>0</v>
      </c>
      <c r="H170" s="1">
        <v>6083.7250709999998</v>
      </c>
      <c r="I170" s="1">
        <v>411535.99119999999</v>
      </c>
      <c r="J170" s="1">
        <v>93997.443209999998</v>
      </c>
      <c r="K170" s="1">
        <v>317538.54800000001</v>
      </c>
      <c r="L170" s="1">
        <v>1123129.1810000001</v>
      </c>
      <c r="M170" s="1">
        <v>6083.7250709999998</v>
      </c>
      <c r="N170" s="1">
        <v>0</v>
      </c>
      <c r="O170" s="1">
        <v>47131.25273</v>
      </c>
      <c r="P170" s="1">
        <v>14576.452730000001</v>
      </c>
      <c r="Q170" s="1">
        <v>32554.799999999999</v>
      </c>
      <c r="R170" s="1">
        <v>46489.190479999997</v>
      </c>
      <c r="S170" s="1">
        <v>377</v>
      </c>
      <c r="T170" s="1">
        <v>377</v>
      </c>
      <c r="U170" s="1">
        <v>0</v>
      </c>
      <c r="V170" s="1">
        <v>311454.82290000003</v>
      </c>
    </row>
    <row r="171" spans="1:22" x14ac:dyDescent="0.25">
      <c r="A171">
        <v>2025</v>
      </c>
      <c r="B171">
        <v>10</v>
      </c>
      <c r="C171" t="s">
        <v>22</v>
      </c>
      <c r="D171" t="s">
        <v>46</v>
      </c>
      <c r="E171" s="1">
        <v>1127067.9820000001</v>
      </c>
      <c r="F171" s="1">
        <v>1123129.1810000001</v>
      </c>
      <c r="G171" s="1">
        <v>0</v>
      </c>
      <c r="H171" s="1">
        <v>3938.8010869999998</v>
      </c>
      <c r="I171" s="1">
        <v>362113.12699999998</v>
      </c>
      <c r="J171" s="1">
        <v>54766.516000000003</v>
      </c>
      <c r="K171" s="1">
        <v>307346.61099999998</v>
      </c>
      <c r="L171" s="1">
        <v>762129.54099999997</v>
      </c>
      <c r="M171" s="1">
        <v>3938.8010869999998</v>
      </c>
      <c r="N171" s="1">
        <v>0</v>
      </c>
      <c r="O171" s="1">
        <v>40667.016000000003</v>
      </c>
      <c r="P171" s="1">
        <v>37846.589999999997</v>
      </c>
      <c r="Q171" s="1">
        <v>2820.4259999999999</v>
      </c>
      <c r="R171" s="1">
        <v>14079.5</v>
      </c>
      <c r="S171" s="1">
        <v>20</v>
      </c>
      <c r="T171" s="1">
        <v>20</v>
      </c>
      <c r="U171" s="1">
        <v>0</v>
      </c>
      <c r="V171" s="1">
        <v>303407.80989999999</v>
      </c>
    </row>
    <row r="172" spans="1:22" x14ac:dyDescent="0.25">
      <c r="A172">
        <v>2025</v>
      </c>
      <c r="B172">
        <v>11</v>
      </c>
      <c r="C172" t="s">
        <v>23</v>
      </c>
      <c r="D172" t="s">
        <v>46</v>
      </c>
      <c r="E172" s="1">
        <v>824842.95380000002</v>
      </c>
      <c r="F172" s="1">
        <v>762129.54099999997</v>
      </c>
      <c r="G172" s="1">
        <v>61926.197</v>
      </c>
      <c r="H172" s="1">
        <v>787.21578820000002</v>
      </c>
      <c r="I172" s="1">
        <v>343512.11680000002</v>
      </c>
      <c r="J172" s="1">
        <v>18793.243999999999</v>
      </c>
      <c r="K172" s="1">
        <v>324718.87280000001</v>
      </c>
      <c r="L172" s="1">
        <v>480511.50300000003</v>
      </c>
      <c r="M172" s="1">
        <v>787.21578820000002</v>
      </c>
      <c r="N172" s="1">
        <v>0</v>
      </c>
      <c r="O172" s="1">
        <v>15817.632</v>
      </c>
      <c r="P172" s="1">
        <v>9531.0319999999992</v>
      </c>
      <c r="Q172" s="1">
        <v>6286.6</v>
      </c>
      <c r="R172" s="1">
        <v>2776.5</v>
      </c>
      <c r="S172" s="1">
        <v>199.11199999999999</v>
      </c>
      <c r="T172" s="1">
        <v>199.11199999999999</v>
      </c>
      <c r="U172" s="1">
        <v>0</v>
      </c>
      <c r="V172" s="1">
        <v>323931.65700000001</v>
      </c>
    </row>
    <row r="173" spans="1:22" x14ac:dyDescent="0.25">
      <c r="A173">
        <v>2025</v>
      </c>
      <c r="B173">
        <v>12</v>
      </c>
      <c r="C173" t="s">
        <v>24</v>
      </c>
      <c r="D173" t="s">
        <v>46</v>
      </c>
      <c r="E173" s="1">
        <v>932630.76500000001</v>
      </c>
      <c r="F173" s="1">
        <v>480511.50300000003</v>
      </c>
      <c r="G173" s="1">
        <v>447573.51</v>
      </c>
      <c r="H173" s="1">
        <v>4545.7520020000002</v>
      </c>
      <c r="I173" s="1">
        <v>382097.45010000002</v>
      </c>
      <c r="J173" s="1">
        <v>34087.78</v>
      </c>
      <c r="K173" s="1">
        <v>348009.67009999999</v>
      </c>
      <c r="L173" s="1">
        <v>547247.24289999995</v>
      </c>
      <c r="M173" s="1">
        <v>4545.7520020000002</v>
      </c>
      <c r="N173" s="1">
        <v>0</v>
      </c>
      <c r="O173" s="1">
        <v>21095.397000000001</v>
      </c>
      <c r="P173" s="1">
        <v>20015.397000000001</v>
      </c>
      <c r="Q173" s="1">
        <v>1080</v>
      </c>
      <c r="R173" s="1">
        <v>12618.067999999999</v>
      </c>
      <c r="S173" s="1">
        <v>374.315</v>
      </c>
      <c r="T173" s="1">
        <v>374.315</v>
      </c>
      <c r="U173" s="1">
        <v>0</v>
      </c>
      <c r="V173" s="1">
        <v>343463.91810000001</v>
      </c>
    </row>
    <row r="174" spans="1:22" x14ac:dyDescent="0.25">
      <c r="A174">
        <v>2011</v>
      </c>
      <c r="B174">
        <v>10</v>
      </c>
      <c r="C174" t="s">
        <v>22</v>
      </c>
      <c r="D174" t="s">
        <v>47</v>
      </c>
      <c r="E174" s="1">
        <v>136752</v>
      </c>
      <c r="F174" s="1">
        <v>0</v>
      </c>
      <c r="G174" s="1">
        <v>39454</v>
      </c>
      <c r="H174" s="1">
        <v>97299</v>
      </c>
      <c r="I174" s="1">
        <v>136752</v>
      </c>
      <c r="J174" s="1">
        <v>1677</v>
      </c>
      <c r="K174" s="1">
        <v>135075</v>
      </c>
      <c r="L174" s="1">
        <v>0</v>
      </c>
    </row>
    <row r="175" spans="1:22" x14ac:dyDescent="0.25">
      <c r="A175">
        <v>2011</v>
      </c>
      <c r="B175">
        <v>11</v>
      </c>
      <c r="C175" t="s">
        <v>23</v>
      </c>
      <c r="D175" t="s">
        <v>47</v>
      </c>
      <c r="E175" s="1">
        <v>145492</v>
      </c>
      <c r="F175" s="1">
        <v>0</v>
      </c>
      <c r="G175" s="1">
        <v>37771</v>
      </c>
      <c r="H175" s="1">
        <v>107721</v>
      </c>
      <c r="I175" s="1">
        <v>145492</v>
      </c>
      <c r="J175" s="1">
        <v>1766</v>
      </c>
      <c r="K175" s="1">
        <v>143727</v>
      </c>
      <c r="L175" s="1">
        <v>0</v>
      </c>
    </row>
    <row r="176" spans="1:22" x14ac:dyDescent="0.25">
      <c r="A176">
        <v>2011</v>
      </c>
      <c r="B176">
        <v>12</v>
      </c>
      <c r="C176" t="s">
        <v>24</v>
      </c>
      <c r="D176" t="s">
        <v>47</v>
      </c>
      <c r="E176" s="1">
        <v>131507</v>
      </c>
      <c r="F176" s="1">
        <v>0</v>
      </c>
      <c r="G176" s="1">
        <v>39664</v>
      </c>
      <c r="H176" s="1">
        <v>91842</v>
      </c>
      <c r="I176" s="1">
        <v>131507</v>
      </c>
      <c r="J176" s="1">
        <v>2359</v>
      </c>
      <c r="K176" s="1">
        <v>129147</v>
      </c>
      <c r="L176" s="1">
        <v>0</v>
      </c>
    </row>
    <row r="177" spans="1:12" x14ac:dyDescent="0.25">
      <c r="A177">
        <v>2012</v>
      </c>
      <c r="B177">
        <v>1</v>
      </c>
      <c r="C177" t="s">
        <v>25</v>
      </c>
      <c r="D177" t="s">
        <v>47</v>
      </c>
      <c r="E177" s="1">
        <v>140398</v>
      </c>
      <c r="F177" s="1">
        <v>0</v>
      </c>
      <c r="G177" s="1">
        <v>40284</v>
      </c>
      <c r="H177" s="1">
        <v>100114</v>
      </c>
      <c r="I177" s="1">
        <v>140398</v>
      </c>
      <c r="J177" s="1">
        <v>1904</v>
      </c>
      <c r="K177" s="1">
        <v>138494</v>
      </c>
      <c r="L177" s="1">
        <v>0</v>
      </c>
    </row>
    <row r="178" spans="1:12" x14ac:dyDescent="0.25">
      <c r="A178">
        <v>2012</v>
      </c>
      <c r="B178">
        <v>2</v>
      </c>
      <c r="C178" t="s">
        <v>26</v>
      </c>
      <c r="D178" t="s">
        <v>47</v>
      </c>
      <c r="E178" s="1">
        <v>116229</v>
      </c>
      <c r="F178" s="1">
        <v>0</v>
      </c>
      <c r="G178" s="1">
        <v>34548</v>
      </c>
      <c r="H178" s="1">
        <v>81682</v>
      </c>
      <c r="I178" s="1">
        <v>116229</v>
      </c>
      <c r="J178" s="1">
        <v>1901</v>
      </c>
      <c r="K178" s="1">
        <v>114328</v>
      </c>
      <c r="L178" s="1">
        <v>0</v>
      </c>
    </row>
    <row r="179" spans="1:12" x14ac:dyDescent="0.25">
      <c r="A179">
        <v>2012</v>
      </c>
      <c r="B179">
        <v>3</v>
      </c>
      <c r="C179" t="s">
        <v>27</v>
      </c>
      <c r="D179" t="s">
        <v>47</v>
      </c>
      <c r="E179" s="1">
        <v>149414</v>
      </c>
      <c r="F179" s="1">
        <v>0</v>
      </c>
      <c r="G179" s="1">
        <v>38853</v>
      </c>
      <c r="H179" s="1">
        <v>110562</v>
      </c>
      <c r="I179" s="1">
        <v>149414</v>
      </c>
      <c r="J179" s="1">
        <v>2279</v>
      </c>
      <c r="K179" s="1">
        <v>147135</v>
      </c>
      <c r="L179" s="1">
        <v>0</v>
      </c>
    </row>
    <row r="180" spans="1:12" x14ac:dyDescent="0.25">
      <c r="A180">
        <v>2012</v>
      </c>
      <c r="B180">
        <v>4</v>
      </c>
      <c r="C180" t="s">
        <v>28</v>
      </c>
      <c r="D180" t="s">
        <v>47</v>
      </c>
      <c r="E180" s="1">
        <v>170819</v>
      </c>
      <c r="F180" s="1">
        <v>0</v>
      </c>
      <c r="G180" s="1">
        <v>40521</v>
      </c>
      <c r="H180" s="1">
        <v>130298</v>
      </c>
      <c r="I180" s="1">
        <v>170819</v>
      </c>
      <c r="J180" s="1">
        <v>2470</v>
      </c>
      <c r="K180" s="1">
        <v>168349</v>
      </c>
      <c r="L180" s="1">
        <v>0</v>
      </c>
    </row>
    <row r="181" spans="1:12" x14ac:dyDescent="0.25">
      <c r="A181">
        <v>2012</v>
      </c>
      <c r="B181">
        <v>5</v>
      </c>
      <c r="C181" t="s">
        <v>29</v>
      </c>
      <c r="D181" t="s">
        <v>47</v>
      </c>
      <c r="E181" s="1">
        <v>152341</v>
      </c>
      <c r="F181" s="1">
        <v>0</v>
      </c>
      <c r="G181" s="1">
        <v>39956</v>
      </c>
      <c r="H181" s="1">
        <v>112385</v>
      </c>
      <c r="I181" s="1">
        <v>152341</v>
      </c>
      <c r="J181" s="1">
        <v>1979</v>
      </c>
      <c r="K181" s="1">
        <v>150361</v>
      </c>
      <c r="L181" s="1">
        <v>0</v>
      </c>
    </row>
    <row r="182" spans="1:12" x14ac:dyDescent="0.25">
      <c r="A182">
        <v>2012</v>
      </c>
      <c r="B182">
        <v>6</v>
      </c>
      <c r="C182" t="s">
        <v>30</v>
      </c>
      <c r="D182" t="s">
        <v>47</v>
      </c>
      <c r="E182" s="1">
        <v>158433</v>
      </c>
      <c r="F182" s="1">
        <v>0</v>
      </c>
      <c r="G182" s="1">
        <v>41002</v>
      </c>
      <c r="H182" s="1">
        <v>117431</v>
      </c>
      <c r="I182" s="1">
        <v>158433</v>
      </c>
      <c r="J182" s="1">
        <v>1790</v>
      </c>
      <c r="K182" s="1">
        <v>156643</v>
      </c>
      <c r="L182" s="1">
        <v>0</v>
      </c>
    </row>
    <row r="183" spans="1:12" x14ac:dyDescent="0.25">
      <c r="A183">
        <v>2012</v>
      </c>
      <c r="B183">
        <v>7</v>
      </c>
      <c r="C183" t="s">
        <v>31</v>
      </c>
      <c r="D183" t="s">
        <v>47</v>
      </c>
      <c r="E183" s="1">
        <v>164638</v>
      </c>
      <c r="F183" s="1">
        <v>0</v>
      </c>
      <c r="G183" s="1">
        <v>42065</v>
      </c>
      <c r="H183" s="1">
        <v>122573</v>
      </c>
      <c r="I183" s="1">
        <v>164638</v>
      </c>
      <c r="J183" s="1">
        <v>2239</v>
      </c>
      <c r="K183" s="1">
        <v>162399</v>
      </c>
      <c r="L183" s="1">
        <v>0</v>
      </c>
    </row>
    <row r="184" spans="1:12" x14ac:dyDescent="0.25">
      <c r="A184">
        <v>2012</v>
      </c>
      <c r="B184">
        <v>8</v>
      </c>
      <c r="C184" t="s">
        <v>32</v>
      </c>
      <c r="D184" t="s">
        <v>47</v>
      </c>
      <c r="E184" s="1">
        <v>153468</v>
      </c>
      <c r="F184" s="1">
        <v>0</v>
      </c>
      <c r="G184" s="1">
        <v>43371</v>
      </c>
      <c r="H184" s="1">
        <v>110097</v>
      </c>
      <c r="I184" s="1">
        <v>153468</v>
      </c>
      <c r="J184" s="1">
        <v>2250</v>
      </c>
      <c r="K184" s="1">
        <v>151218</v>
      </c>
      <c r="L184" s="1">
        <v>0</v>
      </c>
    </row>
    <row r="185" spans="1:12" x14ac:dyDescent="0.25">
      <c r="A185">
        <v>2012</v>
      </c>
      <c r="B185">
        <v>9</v>
      </c>
      <c r="C185" t="s">
        <v>33</v>
      </c>
      <c r="D185" t="s">
        <v>47</v>
      </c>
      <c r="E185" s="1">
        <v>140137</v>
      </c>
      <c r="F185" s="1">
        <v>0</v>
      </c>
      <c r="G185" s="1">
        <v>39332</v>
      </c>
      <c r="H185" s="1">
        <v>100805</v>
      </c>
      <c r="I185" s="1">
        <v>140137</v>
      </c>
      <c r="J185" s="1">
        <v>1919</v>
      </c>
      <c r="K185" s="1">
        <v>138218</v>
      </c>
      <c r="L185" s="1">
        <v>0</v>
      </c>
    </row>
    <row r="186" spans="1:12" x14ac:dyDescent="0.25">
      <c r="A186">
        <v>2012</v>
      </c>
      <c r="B186">
        <v>10</v>
      </c>
      <c r="C186" t="s">
        <v>22</v>
      </c>
      <c r="D186" t="s">
        <v>47</v>
      </c>
      <c r="E186" s="1">
        <v>142020</v>
      </c>
      <c r="F186" s="1">
        <v>0</v>
      </c>
      <c r="G186" s="1">
        <v>42559</v>
      </c>
      <c r="H186" s="1">
        <v>99460</v>
      </c>
      <c r="I186" s="1">
        <v>142020</v>
      </c>
      <c r="J186" s="1">
        <v>2697</v>
      </c>
      <c r="K186" s="1">
        <v>139322</v>
      </c>
      <c r="L186" s="1">
        <v>0</v>
      </c>
    </row>
    <row r="187" spans="1:12" x14ac:dyDescent="0.25">
      <c r="A187">
        <v>2012</v>
      </c>
      <c r="B187">
        <v>11</v>
      </c>
      <c r="C187" t="s">
        <v>23</v>
      </c>
      <c r="D187" t="s">
        <v>47</v>
      </c>
      <c r="E187" s="1">
        <v>148162</v>
      </c>
      <c r="F187" s="1">
        <v>0</v>
      </c>
      <c r="G187" s="1">
        <v>41239</v>
      </c>
      <c r="H187" s="1">
        <v>106923</v>
      </c>
      <c r="I187" s="1">
        <v>148162</v>
      </c>
      <c r="J187" s="1">
        <v>3039</v>
      </c>
      <c r="K187" s="1">
        <v>145123</v>
      </c>
      <c r="L187" s="1">
        <v>0</v>
      </c>
    </row>
    <row r="188" spans="1:12" x14ac:dyDescent="0.25">
      <c r="A188">
        <v>2012</v>
      </c>
      <c r="B188">
        <v>12</v>
      </c>
      <c r="C188" t="s">
        <v>24</v>
      </c>
      <c r="D188" t="s">
        <v>47</v>
      </c>
      <c r="E188" s="1">
        <v>128602</v>
      </c>
      <c r="F188" s="1">
        <v>0</v>
      </c>
      <c r="G188" s="1">
        <v>42494</v>
      </c>
      <c r="H188" s="1">
        <v>86108</v>
      </c>
      <c r="I188" s="1">
        <v>128602</v>
      </c>
      <c r="J188" s="1">
        <v>2355</v>
      </c>
      <c r="K188" s="1">
        <v>126248</v>
      </c>
      <c r="L188" s="1">
        <v>0</v>
      </c>
    </row>
    <row r="189" spans="1:12" x14ac:dyDescent="0.25">
      <c r="A189">
        <v>2013</v>
      </c>
      <c r="B189">
        <v>1</v>
      </c>
      <c r="C189" t="s">
        <v>25</v>
      </c>
      <c r="D189" t="s">
        <v>47</v>
      </c>
      <c r="E189" s="1">
        <v>141946</v>
      </c>
      <c r="F189" s="1">
        <v>0</v>
      </c>
      <c r="G189" s="1">
        <v>40580</v>
      </c>
      <c r="H189" s="1">
        <v>101366</v>
      </c>
      <c r="I189" s="1">
        <v>141946</v>
      </c>
      <c r="J189" s="1">
        <v>2138</v>
      </c>
      <c r="K189" s="1">
        <v>139808</v>
      </c>
      <c r="L189" s="1">
        <v>0</v>
      </c>
    </row>
    <row r="190" spans="1:12" x14ac:dyDescent="0.25">
      <c r="A190">
        <v>2013</v>
      </c>
      <c r="B190">
        <v>2</v>
      </c>
      <c r="C190" t="s">
        <v>26</v>
      </c>
      <c r="D190" t="s">
        <v>47</v>
      </c>
      <c r="E190" s="1">
        <v>108404</v>
      </c>
      <c r="F190" s="1">
        <v>0</v>
      </c>
      <c r="G190" s="1">
        <v>40118</v>
      </c>
      <c r="H190" s="1">
        <v>68286</v>
      </c>
      <c r="I190" s="1">
        <v>108404</v>
      </c>
      <c r="J190" s="1">
        <v>2263</v>
      </c>
      <c r="K190" s="1">
        <v>106141</v>
      </c>
      <c r="L190" s="1">
        <v>0</v>
      </c>
    </row>
    <row r="191" spans="1:12" x14ac:dyDescent="0.25">
      <c r="A191">
        <v>2013</v>
      </c>
      <c r="B191">
        <v>3</v>
      </c>
      <c r="C191" t="s">
        <v>27</v>
      </c>
      <c r="D191" t="s">
        <v>47</v>
      </c>
      <c r="E191" s="1">
        <v>128503</v>
      </c>
      <c r="F191" s="1">
        <v>0</v>
      </c>
      <c r="G191" s="1">
        <v>41376</v>
      </c>
      <c r="H191" s="1">
        <v>87128</v>
      </c>
      <c r="I191" s="1">
        <v>128503</v>
      </c>
      <c r="J191" s="1">
        <v>2552</v>
      </c>
      <c r="K191" s="1">
        <v>125952</v>
      </c>
      <c r="L191" s="1">
        <v>0</v>
      </c>
    </row>
    <row r="192" spans="1:12" x14ac:dyDescent="0.25">
      <c r="A192">
        <v>2013</v>
      </c>
      <c r="B192">
        <v>4</v>
      </c>
      <c r="C192" t="s">
        <v>28</v>
      </c>
      <c r="D192" t="s">
        <v>47</v>
      </c>
      <c r="E192" s="1">
        <v>140594</v>
      </c>
      <c r="F192" s="1">
        <v>0</v>
      </c>
      <c r="G192" s="1">
        <v>40416</v>
      </c>
      <c r="H192" s="1">
        <v>100178</v>
      </c>
      <c r="I192" s="1">
        <v>140594</v>
      </c>
      <c r="J192" s="1">
        <v>2987</v>
      </c>
      <c r="K192" s="1">
        <v>137607</v>
      </c>
      <c r="L192" s="1">
        <v>0</v>
      </c>
    </row>
    <row r="193" spans="1:12" x14ac:dyDescent="0.25">
      <c r="A193">
        <v>2013</v>
      </c>
      <c r="B193">
        <v>5</v>
      </c>
      <c r="C193" t="s">
        <v>29</v>
      </c>
      <c r="D193" t="s">
        <v>47</v>
      </c>
      <c r="E193" s="1">
        <v>130115</v>
      </c>
      <c r="F193" s="1">
        <v>0</v>
      </c>
      <c r="G193" s="1">
        <v>41674</v>
      </c>
      <c r="H193" s="1">
        <v>88440</v>
      </c>
      <c r="I193" s="1">
        <v>130115</v>
      </c>
      <c r="J193" s="1">
        <v>2492</v>
      </c>
      <c r="K193" s="1">
        <v>127623</v>
      </c>
      <c r="L193" s="1">
        <v>0</v>
      </c>
    </row>
    <row r="194" spans="1:12" x14ac:dyDescent="0.25">
      <c r="A194">
        <v>2013</v>
      </c>
      <c r="B194">
        <v>6</v>
      </c>
      <c r="C194" t="s">
        <v>30</v>
      </c>
      <c r="D194" t="s">
        <v>47</v>
      </c>
      <c r="E194" s="1">
        <v>124066</v>
      </c>
      <c r="F194" s="1">
        <v>0</v>
      </c>
      <c r="G194" s="1">
        <v>40100</v>
      </c>
      <c r="H194" s="1">
        <v>83966</v>
      </c>
      <c r="I194" s="1">
        <v>124066</v>
      </c>
      <c r="J194" s="1">
        <v>2831</v>
      </c>
      <c r="K194" s="1">
        <v>121235</v>
      </c>
      <c r="L194" s="1">
        <v>0</v>
      </c>
    </row>
    <row r="195" spans="1:12" x14ac:dyDescent="0.25">
      <c r="A195">
        <v>2013</v>
      </c>
      <c r="B195">
        <v>7</v>
      </c>
      <c r="C195" t="s">
        <v>31</v>
      </c>
      <c r="D195" t="s">
        <v>47</v>
      </c>
      <c r="E195" s="1">
        <v>143046</v>
      </c>
      <c r="F195" s="1">
        <v>0</v>
      </c>
      <c r="G195" s="1">
        <v>41192</v>
      </c>
      <c r="H195" s="1">
        <v>101854</v>
      </c>
      <c r="I195" s="1">
        <v>143046</v>
      </c>
      <c r="J195" s="1">
        <v>3023</v>
      </c>
      <c r="K195" s="1">
        <v>140023</v>
      </c>
      <c r="L195" s="1">
        <v>0</v>
      </c>
    </row>
    <row r="196" spans="1:12" x14ac:dyDescent="0.25">
      <c r="A196">
        <v>2013</v>
      </c>
      <c r="B196">
        <v>8</v>
      </c>
      <c r="C196" t="s">
        <v>32</v>
      </c>
      <c r="D196" t="s">
        <v>47</v>
      </c>
      <c r="E196" s="1">
        <v>138288</v>
      </c>
      <c r="F196" s="1">
        <v>0</v>
      </c>
      <c r="G196" s="1">
        <v>41198</v>
      </c>
      <c r="H196" s="1">
        <v>97090</v>
      </c>
      <c r="I196" s="1">
        <v>138288</v>
      </c>
      <c r="J196" s="1">
        <v>3032</v>
      </c>
      <c r="K196" s="1">
        <v>135256</v>
      </c>
      <c r="L196" s="1">
        <v>0</v>
      </c>
    </row>
    <row r="197" spans="1:12" x14ac:dyDescent="0.25">
      <c r="A197">
        <v>2013</v>
      </c>
      <c r="B197">
        <v>9</v>
      </c>
      <c r="C197" t="s">
        <v>33</v>
      </c>
      <c r="D197" t="s">
        <v>47</v>
      </c>
      <c r="E197" s="1">
        <v>125732</v>
      </c>
      <c r="F197" s="1">
        <v>0</v>
      </c>
      <c r="G197" s="1">
        <v>41177</v>
      </c>
      <c r="H197" s="1">
        <v>84555</v>
      </c>
      <c r="I197" s="1">
        <v>125732</v>
      </c>
      <c r="J197" s="1">
        <v>2871</v>
      </c>
      <c r="K197" s="1">
        <v>122861</v>
      </c>
      <c r="L197" s="1">
        <v>0</v>
      </c>
    </row>
    <row r="198" spans="1:12" x14ac:dyDescent="0.25">
      <c r="A198">
        <v>2013</v>
      </c>
      <c r="B198">
        <v>10</v>
      </c>
      <c r="C198" t="s">
        <v>22</v>
      </c>
      <c r="D198" t="s">
        <v>47</v>
      </c>
      <c r="E198" s="1">
        <v>116751</v>
      </c>
      <c r="F198" s="1">
        <v>0</v>
      </c>
      <c r="G198" s="1">
        <v>42186</v>
      </c>
      <c r="H198" s="1">
        <v>74564</v>
      </c>
      <c r="I198" s="1">
        <v>116751</v>
      </c>
      <c r="J198" s="1">
        <v>3228</v>
      </c>
      <c r="K198" s="1">
        <v>113523</v>
      </c>
      <c r="L198" s="1">
        <v>0</v>
      </c>
    </row>
    <row r="199" spans="1:12" x14ac:dyDescent="0.25">
      <c r="A199">
        <v>2013</v>
      </c>
      <c r="B199">
        <v>11</v>
      </c>
      <c r="C199" t="s">
        <v>23</v>
      </c>
      <c r="D199" t="s">
        <v>47</v>
      </c>
      <c r="E199" s="1">
        <v>126498</v>
      </c>
      <c r="F199" s="1">
        <v>0</v>
      </c>
      <c r="G199" s="1">
        <v>41715</v>
      </c>
      <c r="H199" s="1">
        <v>84783</v>
      </c>
      <c r="I199" s="1">
        <v>126498</v>
      </c>
      <c r="J199" s="1">
        <v>2972</v>
      </c>
      <c r="K199" s="1">
        <v>123526</v>
      </c>
      <c r="L199" s="1">
        <v>0</v>
      </c>
    </row>
    <row r="200" spans="1:12" x14ac:dyDescent="0.25">
      <c r="A200">
        <v>2013</v>
      </c>
      <c r="B200">
        <v>12</v>
      </c>
      <c r="C200" t="s">
        <v>24</v>
      </c>
      <c r="D200" t="s">
        <v>47</v>
      </c>
      <c r="E200" s="1">
        <v>112131</v>
      </c>
      <c r="F200" s="1">
        <v>0</v>
      </c>
      <c r="G200" s="1">
        <v>43973</v>
      </c>
      <c r="H200" s="1">
        <v>68159</v>
      </c>
      <c r="I200" s="1">
        <v>112131</v>
      </c>
      <c r="J200" s="1">
        <v>3101</v>
      </c>
      <c r="K200" s="1">
        <v>109031</v>
      </c>
      <c r="L200" s="1">
        <v>0</v>
      </c>
    </row>
    <row r="201" spans="1:12" x14ac:dyDescent="0.25">
      <c r="A201">
        <v>2014</v>
      </c>
      <c r="B201">
        <v>1</v>
      </c>
      <c r="C201" t="s">
        <v>25</v>
      </c>
      <c r="D201" t="s">
        <v>47</v>
      </c>
      <c r="E201" s="1">
        <v>115706</v>
      </c>
      <c r="F201" s="1">
        <v>0</v>
      </c>
      <c r="G201" s="1">
        <v>41192</v>
      </c>
      <c r="H201" s="1">
        <v>74513</v>
      </c>
      <c r="I201" s="1">
        <v>115706</v>
      </c>
      <c r="J201" s="1">
        <v>3221</v>
      </c>
      <c r="K201" s="1">
        <v>112484</v>
      </c>
      <c r="L201" s="1">
        <v>0</v>
      </c>
    </row>
    <row r="202" spans="1:12" x14ac:dyDescent="0.25">
      <c r="A202">
        <v>2014</v>
      </c>
      <c r="B202">
        <v>2</v>
      </c>
      <c r="C202" t="s">
        <v>26</v>
      </c>
      <c r="D202" t="s">
        <v>47</v>
      </c>
      <c r="E202" s="1">
        <v>91134</v>
      </c>
      <c r="F202" s="1">
        <v>0</v>
      </c>
      <c r="G202" s="1">
        <v>38775</v>
      </c>
      <c r="H202" s="1">
        <v>52359</v>
      </c>
      <c r="I202" s="1">
        <v>91134</v>
      </c>
      <c r="J202" s="1">
        <v>2740</v>
      </c>
      <c r="K202" s="1">
        <v>88394</v>
      </c>
      <c r="L202" s="1">
        <v>0</v>
      </c>
    </row>
    <row r="203" spans="1:12" x14ac:dyDescent="0.25">
      <c r="A203">
        <v>2014</v>
      </c>
      <c r="B203">
        <v>3</v>
      </c>
      <c r="C203" t="s">
        <v>27</v>
      </c>
      <c r="D203" t="s">
        <v>47</v>
      </c>
      <c r="E203" s="1">
        <v>114794</v>
      </c>
      <c r="F203" s="1">
        <v>0</v>
      </c>
      <c r="G203" s="1">
        <v>41568</v>
      </c>
      <c r="H203" s="1">
        <v>73226</v>
      </c>
      <c r="I203" s="1">
        <v>114794</v>
      </c>
      <c r="J203" s="1">
        <v>2954</v>
      </c>
      <c r="K203" s="1">
        <v>111840</v>
      </c>
      <c r="L203" s="1">
        <v>0</v>
      </c>
    </row>
    <row r="204" spans="1:12" x14ac:dyDescent="0.25">
      <c r="A204">
        <v>2014</v>
      </c>
      <c r="B204">
        <v>4</v>
      </c>
      <c r="C204" t="s">
        <v>28</v>
      </c>
      <c r="D204" t="s">
        <v>47</v>
      </c>
      <c r="E204" s="1">
        <v>117336</v>
      </c>
      <c r="F204" s="1">
        <v>0</v>
      </c>
      <c r="G204" s="1">
        <v>41568</v>
      </c>
      <c r="H204" s="1">
        <v>75768</v>
      </c>
      <c r="I204" s="1">
        <v>117336</v>
      </c>
      <c r="J204" s="1">
        <v>3506</v>
      </c>
      <c r="K204" s="1">
        <v>113830</v>
      </c>
      <c r="L204" s="1">
        <v>0</v>
      </c>
    </row>
    <row r="205" spans="1:12" x14ac:dyDescent="0.25">
      <c r="A205">
        <v>2014</v>
      </c>
      <c r="B205">
        <v>5</v>
      </c>
      <c r="C205" t="s">
        <v>29</v>
      </c>
      <c r="D205" t="s">
        <v>47</v>
      </c>
      <c r="E205" s="1">
        <v>132600</v>
      </c>
      <c r="F205" s="1">
        <v>0</v>
      </c>
      <c r="G205" s="1">
        <v>41568</v>
      </c>
      <c r="H205" s="1">
        <v>91032</v>
      </c>
      <c r="I205" s="1">
        <v>132600</v>
      </c>
      <c r="J205" s="1">
        <v>3862</v>
      </c>
      <c r="K205" s="1">
        <v>128738</v>
      </c>
      <c r="L205" s="1">
        <v>0</v>
      </c>
    </row>
    <row r="206" spans="1:12" x14ac:dyDescent="0.25">
      <c r="A206">
        <v>2014</v>
      </c>
      <c r="B206">
        <v>6</v>
      </c>
      <c r="C206" t="s">
        <v>30</v>
      </c>
      <c r="D206" t="s">
        <v>47</v>
      </c>
      <c r="E206" s="1">
        <v>106442</v>
      </c>
      <c r="F206" s="1">
        <v>0</v>
      </c>
      <c r="G206" s="1">
        <v>41568</v>
      </c>
      <c r="H206" s="1">
        <v>64873</v>
      </c>
      <c r="I206" s="1">
        <v>106442</v>
      </c>
      <c r="J206" s="1">
        <v>3416</v>
      </c>
      <c r="K206" s="1">
        <v>103026</v>
      </c>
      <c r="L206" s="1">
        <v>0</v>
      </c>
    </row>
    <row r="207" spans="1:12" x14ac:dyDescent="0.25">
      <c r="A207">
        <v>2014</v>
      </c>
      <c r="B207">
        <v>7</v>
      </c>
      <c r="C207" t="s">
        <v>31</v>
      </c>
      <c r="D207" t="s">
        <v>47</v>
      </c>
      <c r="E207" s="1">
        <v>127580</v>
      </c>
      <c r="F207" s="1">
        <v>0</v>
      </c>
      <c r="G207" s="1">
        <v>41568</v>
      </c>
      <c r="H207" s="1">
        <v>86012</v>
      </c>
      <c r="I207" s="1">
        <v>127580</v>
      </c>
      <c r="J207" s="1">
        <v>3770</v>
      </c>
      <c r="K207" s="1">
        <v>123810</v>
      </c>
      <c r="L207" s="1">
        <v>0</v>
      </c>
    </row>
    <row r="208" spans="1:12" x14ac:dyDescent="0.25">
      <c r="A208">
        <v>2014</v>
      </c>
      <c r="B208">
        <v>8</v>
      </c>
      <c r="C208" t="s">
        <v>32</v>
      </c>
      <c r="D208" t="s">
        <v>47</v>
      </c>
      <c r="E208" s="1">
        <v>111194</v>
      </c>
      <c r="F208" s="1">
        <v>0</v>
      </c>
      <c r="G208" s="1">
        <v>41568</v>
      </c>
      <c r="H208" s="1">
        <v>69626</v>
      </c>
      <c r="I208" s="1">
        <v>111194</v>
      </c>
      <c r="J208" s="1">
        <v>3015</v>
      </c>
      <c r="K208" s="1">
        <v>108179</v>
      </c>
      <c r="L208" s="1">
        <v>0</v>
      </c>
    </row>
    <row r="209" spans="1:12" x14ac:dyDescent="0.25">
      <c r="A209">
        <v>2014</v>
      </c>
      <c r="B209">
        <v>9</v>
      </c>
      <c r="C209" t="s">
        <v>33</v>
      </c>
      <c r="D209" t="s">
        <v>47</v>
      </c>
      <c r="E209" s="1">
        <v>139189</v>
      </c>
      <c r="F209" s="1">
        <v>0</v>
      </c>
      <c r="G209" s="1">
        <v>41568</v>
      </c>
      <c r="H209" s="1">
        <v>97621</v>
      </c>
      <c r="I209" s="1">
        <v>139189</v>
      </c>
      <c r="J209" s="1">
        <v>3304</v>
      </c>
      <c r="K209" s="1">
        <v>135885</v>
      </c>
      <c r="L209" s="1">
        <v>0</v>
      </c>
    </row>
    <row r="210" spans="1:12" x14ac:dyDescent="0.25">
      <c r="A210">
        <v>2014</v>
      </c>
      <c r="B210">
        <v>10</v>
      </c>
      <c r="C210" t="s">
        <v>22</v>
      </c>
      <c r="D210" t="s">
        <v>47</v>
      </c>
      <c r="E210" s="1">
        <v>123918</v>
      </c>
      <c r="F210" s="1">
        <v>0</v>
      </c>
      <c r="G210" s="1">
        <v>41568</v>
      </c>
      <c r="H210" s="1">
        <v>82350</v>
      </c>
      <c r="I210" s="1">
        <v>123918</v>
      </c>
      <c r="J210" s="1">
        <v>2979</v>
      </c>
      <c r="K210" s="1">
        <v>120939</v>
      </c>
      <c r="L210" s="1">
        <v>0</v>
      </c>
    </row>
    <row r="211" spans="1:12" x14ac:dyDescent="0.25">
      <c r="A211">
        <v>2014</v>
      </c>
      <c r="B211">
        <v>11</v>
      </c>
      <c r="C211" t="s">
        <v>23</v>
      </c>
      <c r="D211" t="s">
        <v>47</v>
      </c>
      <c r="E211" s="1">
        <v>115231</v>
      </c>
      <c r="F211" s="1">
        <v>0</v>
      </c>
      <c r="G211" s="1">
        <v>41568</v>
      </c>
      <c r="H211" s="1">
        <v>73663</v>
      </c>
      <c r="I211" s="1">
        <v>115231</v>
      </c>
      <c r="J211" s="1">
        <v>2724</v>
      </c>
      <c r="K211" s="1">
        <v>112508</v>
      </c>
      <c r="L211" s="1">
        <v>0</v>
      </c>
    </row>
    <row r="212" spans="1:12" x14ac:dyDescent="0.25">
      <c r="A212">
        <v>2014</v>
      </c>
      <c r="B212">
        <v>12</v>
      </c>
      <c r="C212" t="s">
        <v>24</v>
      </c>
      <c r="D212" t="s">
        <v>47</v>
      </c>
      <c r="E212" s="1">
        <v>114435</v>
      </c>
      <c r="F212" s="1">
        <v>0</v>
      </c>
      <c r="G212" s="1">
        <v>41568</v>
      </c>
      <c r="H212" s="1">
        <v>72866</v>
      </c>
      <c r="I212" s="1">
        <v>114435</v>
      </c>
      <c r="J212" s="1">
        <v>2866</v>
      </c>
      <c r="K212" s="1">
        <v>111568</v>
      </c>
      <c r="L212" s="1">
        <v>0</v>
      </c>
    </row>
    <row r="213" spans="1:12" x14ac:dyDescent="0.25">
      <c r="A213">
        <v>2015</v>
      </c>
      <c r="B213">
        <v>1</v>
      </c>
      <c r="C213" t="s">
        <v>25</v>
      </c>
      <c r="D213" t="s">
        <v>47</v>
      </c>
      <c r="E213" s="1">
        <v>123370</v>
      </c>
      <c r="F213" s="1">
        <v>0</v>
      </c>
      <c r="G213" s="1">
        <v>41568</v>
      </c>
      <c r="H213" s="1">
        <v>81802</v>
      </c>
      <c r="I213" s="1">
        <v>123370</v>
      </c>
      <c r="J213" s="1">
        <v>3034</v>
      </c>
      <c r="K213" s="1">
        <v>120336</v>
      </c>
      <c r="L213" s="1">
        <v>0</v>
      </c>
    </row>
    <row r="214" spans="1:12" x14ac:dyDescent="0.25">
      <c r="A214">
        <v>2015</v>
      </c>
      <c r="B214">
        <v>2</v>
      </c>
      <c r="C214" t="s">
        <v>26</v>
      </c>
      <c r="D214" t="s">
        <v>47</v>
      </c>
      <c r="E214" s="1">
        <v>99226</v>
      </c>
      <c r="F214" s="1">
        <v>0</v>
      </c>
      <c r="G214" s="1">
        <v>41568</v>
      </c>
      <c r="H214" s="1">
        <v>57657</v>
      </c>
      <c r="I214" s="1">
        <v>99226</v>
      </c>
      <c r="J214" s="1">
        <v>2670</v>
      </c>
      <c r="K214" s="1">
        <v>96555</v>
      </c>
      <c r="L214" s="1">
        <v>0</v>
      </c>
    </row>
    <row r="215" spans="1:12" x14ac:dyDescent="0.25">
      <c r="A215">
        <v>2015</v>
      </c>
      <c r="B215">
        <v>3</v>
      </c>
      <c r="C215" t="s">
        <v>27</v>
      </c>
      <c r="D215" t="s">
        <v>47</v>
      </c>
      <c r="E215" s="1">
        <v>117047</v>
      </c>
      <c r="F215" s="1">
        <v>0</v>
      </c>
      <c r="G215" s="1">
        <v>41568</v>
      </c>
      <c r="H215" s="1">
        <v>75478</v>
      </c>
      <c r="I215" s="1">
        <v>117047</v>
      </c>
      <c r="J215" s="1">
        <v>3101</v>
      </c>
      <c r="K215" s="1">
        <v>113946</v>
      </c>
      <c r="L215" s="1">
        <v>0</v>
      </c>
    </row>
    <row r="216" spans="1:12" x14ac:dyDescent="0.25">
      <c r="A216">
        <v>2015</v>
      </c>
      <c r="B216">
        <v>4</v>
      </c>
      <c r="C216" t="s">
        <v>28</v>
      </c>
      <c r="D216" t="s">
        <v>47</v>
      </c>
      <c r="E216" s="1">
        <v>132774</v>
      </c>
      <c r="F216" s="1">
        <v>0</v>
      </c>
      <c r="G216" s="1">
        <v>41568</v>
      </c>
      <c r="H216" s="1">
        <v>91206</v>
      </c>
      <c r="I216" s="1">
        <v>132774</v>
      </c>
      <c r="J216" s="1">
        <v>2850</v>
      </c>
      <c r="K216" s="1">
        <v>129924</v>
      </c>
      <c r="L216" s="1">
        <v>0</v>
      </c>
    </row>
    <row r="217" spans="1:12" x14ac:dyDescent="0.25">
      <c r="A217">
        <v>2015</v>
      </c>
      <c r="B217">
        <v>5</v>
      </c>
      <c r="C217" t="s">
        <v>29</v>
      </c>
      <c r="D217" t="s">
        <v>47</v>
      </c>
      <c r="E217" s="1">
        <v>130297</v>
      </c>
      <c r="F217" s="1">
        <v>0</v>
      </c>
      <c r="G217" s="1">
        <v>41568</v>
      </c>
      <c r="H217" s="1">
        <v>88728</v>
      </c>
      <c r="I217" s="1">
        <v>130297</v>
      </c>
      <c r="J217" s="1">
        <v>3115</v>
      </c>
      <c r="K217" s="1">
        <v>127182</v>
      </c>
      <c r="L217" s="1">
        <v>0</v>
      </c>
    </row>
    <row r="218" spans="1:12" x14ac:dyDescent="0.25">
      <c r="A218">
        <v>2015</v>
      </c>
      <c r="B218">
        <v>6</v>
      </c>
      <c r="C218" t="s">
        <v>30</v>
      </c>
      <c r="D218" t="s">
        <v>47</v>
      </c>
      <c r="E218" s="1">
        <v>135346</v>
      </c>
      <c r="F218" s="1">
        <v>0</v>
      </c>
      <c r="G218" s="1">
        <v>41568</v>
      </c>
      <c r="H218" s="1">
        <v>93777</v>
      </c>
      <c r="I218" s="1">
        <v>135346</v>
      </c>
      <c r="J218" s="1">
        <v>2904</v>
      </c>
      <c r="K218" s="1">
        <v>132442</v>
      </c>
      <c r="L218" s="1">
        <v>0</v>
      </c>
    </row>
    <row r="219" spans="1:12" x14ac:dyDescent="0.25">
      <c r="A219">
        <v>2015</v>
      </c>
      <c r="B219">
        <v>7</v>
      </c>
      <c r="C219" t="s">
        <v>31</v>
      </c>
      <c r="D219" t="s">
        <v>47</v>
      </c>
      <c r="E219" s="1">
        <v>142122</v>
      </c>
      <c r="F219" s="1">
        <v>0</v>
      </c>
      <c r="G219" s="1">
        <v>41568</v>
      </c>
      <c r="H219" s="1">
        <v>100554</v>
      </c>
      <c r="I219" s="1">
        <v>142122</v>
      </c>
      <c r="J219" s="1">
        <v>2778</v>
      </c>
      <c r="K219" s="1">
        <v>139344</v>
      </c>
      <c r="L219" s="1">
        <v>0</v>
      </c>
    </row>
    <row r="220" spans="1:12" x14ac:dyDescent="0.25">
      <c r="A220">
        <v>2015</v>
      </c>
      <c r="B220">
        <v>8</v>
      </c>
      <c r="C220" t="s">
        <v>32</v>
      </c>
      <c r="D220" t="s">
        <v>47</v>
      </c>
      <c r="E220" s="1">
        <v>117706</v>
      </c>
      <c r="F220" s="1">
        <v>0</v>
      </c>
      <c r="G220" s="1">
        <v>41568</v>
      </c>
      <c r="H220" s="1">
        <v>76138</v>
      </c>
      <c r="I220" s="1">
        <v>117706</v>
      </c>
      <c r="J220" s="1">
        <v>2084</v>
      </c>
      <c r="K220" s="1">
        <v>115622</v>
      </c>
      <c r="L220" s="1">
        <v>0</v>
      </c>
    </row>
    <row r="221" spans="1:12" x14ac:dyDescent="0.25">
      <c r="A221">
        <v>2015</v>
      </c>
      <c r="B221">
        <v>9</v>
      </c>
      <c r="C221" t="s">
        <v>33</v>
      </c>
      <c r="D221" t="s">
        <v>47</v>
      </c>
      <c r="E221" s="1">
        <v>126025</v>
      </c>
      <c r="F221" s="1">
        <v>0</v>
      </c>
      <c r="G221" s="1">
        <v>41568</v>
      </c>
      <c r="H221" s="1">
        <v>84456</v>
      </c>
      <c r="I221" s="1">
        <v>126025</v>
      </c>
      <c r="J221" s="1">
        <v>2357</v>
      </c>
      <c r="K221" s="1">
        <v>123667</v>
      </c>
      <c r="L221" s="1">
        <v>0</v>
      </c>
    </row>
    <row r="222" spans="1:12" x14ac:dyDescent="0.25">
      <c r="A222">
        <v>2015</v>
      </c>
      <c r="B222">
        <v>10</v>
      </c>
      <c r="C222" t="s">
        <v>22</v>
      </c>
      <c r="D222" t="s">
        <v>47</v>
      </c>
      <c r="E222" s="1">
        <v>118469</v>
      </c>
      <c r="F222" s="1">
        <v>0</v>
      </c>
      <c r="G222" s="1">
        <v>41568</v>
      </c>
      <c r="H222" s="1">
        <v>76901</v>
      </c>
      <c r="I222" s="1">
        <v>118469</v>
      </c>
      <c r="J222" s="1">
        <v>2355</v>
      </c>
      <c r="K222" s="1">
        <v>116115</v>
      </c>
      <c r="L222" s="1">
        <v>0</v>
      </c>
    </row>
    <row r="223" spans="1:12" x14ac:dyDescent="0.25">
      <c r="A223">
        <v>2015</v>
      </c>
      <c r="B223">
        <v>11</v>
      </c>
      <c r="C223" t="s">
        <v>23</v>
      </c>
      <c r="D223" t="s">
        <v>47</v>
      </c>
      <c r="E223" s="1">
        <v>112556</v>
      </c>
      <c r="F223" s="1">
        <v>0</v>
      </c>
      <c r="G223" s="1">
        <v>41568</v>
      </c>
      <c r="H223" s="1">
        <v>70987</v>
      </c>
      <c r="I223" s="1">
        <v>112556</v>
      </c>
      <c r="J223" s="1">
        <v>2780</v>
      </c>
      <c r="K223" s="1">
        <v>109776</v>
      </c>
      <c r="L223" s="1">
        <v>0</v>
      </c>
    </row>
    <row r="224" spans="1:12" x14ac:dyDescent="0.25">
      <c r="A224">
        <v>2015</v>
      </c>
      <c r="B224">
        <v>12</v>
      </c>
      <c r="C224" t="s">
        <v>24</v>
      </c>
      <c r="D224" t="s">
        <v>47</v>
      </c>
      <c r="E224" s="1">
        <v>124998</v>
      </c>
      <c r="F224" s="1">
        <v>0</v>
      </c>
      <c r="G224" s="1">
        <v>41568</v>
      </c>
      <c r="H224" s="1">
        <v>83430</v>
      </c>
      <c r="I224" s="1">
        <v>124998</v>
      </c>
      <c r="J224" s="1">
        <v>2778</v>
      </c>
      <c r="K224" s="1">
        <v>122221</v>
      </c>
      <c r="L224" s="1">
        <v>0</v>
      </c>
    </row>
    <row r="225" spans="1:12" x14ac:dyDescent="0.25">
      <c r="A225">
        <v>2016</v>
      </c>
      <c r="B225">
        <v>1</v>
      </c>
      <c r="C225" t="s">
        <v>25</v>
      </c>
      <c r="D225" t="s">
        <v>47</v>
      </c>
      <c r="E225" s="1">
        <v>100767</v>
      </c>
      <c r="F225" s="1">
        <v>0</v>
      </c>
      <c r="G225" s="1">
        <v>41568</v>
      </c>
      <c r="H225" s="1">
        <v>59198</v>
      </c>
      <c r="I225" s="1">
        <v>100767</v>
      </c>
      <c r="J225" s="1">
        <v>2367</v>
      </c>
      <c r="K225" s="1">
        <v>98399</v>
      </c>
      <c r="L225" s="1">
        <v>0</v>
      </c>
    </row>
    <row r="226" spans="1:12" x14ac:dyDescent="0.25">
      <c r="A226">
        <v>2016</v>
      </c>
      <c r="B226">
        <v>2</v>
      </c>
      <c r="C226" t="s">
        <v>26</v>
      </c>
      <c r="D226" t="s">
        <v>47</v>
      </c>
      <c r="E226" s="1">
        <v>121991</v>
      </c>
      <c r="F226" s="1">
        <v>0</v>
      </c>
      <c r="G226" s="1">
        <v>41568</v>
      </c>
      <c r="H226" s="1">
        <v>80423</v>
      </c>
      <c r="I226" s="1">
        <v>121991</v>
      </c>
      <c r="J226" s="1">
        <v>2435</v>
      </c>
      <c r="K226" s="1">
        <v>119556</v>
      </c>
      <c r="L226" s="1">
        <v>0</v>
      </c>
    </row>
    <row r="227" spans="1:12" x14ac:dyDescent="0.25">
      <c r="A227">
        <v>2016</v>
      </c>
      <c r="B227">
        <v>3</v>
      </c>
      <c r="C227" t="s">
        <v>27</v>
      </c>
      <c r="D227" t="s">
        <v>47</v>
      </c>
      <c r="E227" s="1">
        <v>117195</v>
      </c>
      <c r="F227" s="1">
        <v>0</v>
      </c>
      <c r="G227" s="1">
        <v>41568</v>
      </c>
      <c r="H227" s="1">
        <v>75627</v>
      </c>
      <c r="I227" s="1">
        <v>117195</v>
      </c>
      <c r="J227" s="1">
        <v>3642</v>
      </c>
      <c r="K227" s="1">
        <v>113553</v>
      </c>
      <c r="L227" s="1">
        <v>0</v>
      </c>
    </row>
    <row r="228" spans="1:12" x14ac:dyDescent="0.25">
      <c r="A228">
        <v>2016</v>
      </c>
      <c r="B228">
        <v>4</v>
      </c>
      <c r="C228" t="s">
        <v>28</v>
      </c>
      <c r="D228" t="s">
        <v>47</v>
      </c>
      <c r="E228" s="1">
        <v>130295</v>
      </c>
      <c r="F228" s="1">
        <v>0</v>
      </c>
      <c r="G228" s="1">
        <v>43153</v>
      </c>
      <c r="H228" s="1">
        <v>87141</v>
      </c>
      <c r="I228" s="1">
        <v>130295</v>
      </c>
      <c r="J228" s="1">
        <v>3228</v>
      </c>
      <c r="K228" s="1">
        <v>127067</v>
      </c>
      <c r="L228" s="1">
        <v>0</v>
      </c>
    </row>
    <row r="229" spans="1:12" x14ac:dyDescent="0.25">
      <c r="A229">
        <v>2016</v>
      </c>
      <c r="B229">
        <v>5</v>
      </c>
      <c r="C229" t="s">
        <v>29</v>
      </c>
      <c r="D229" t="s">
        <v>47</v>
      </c>
      <c r="E229" s="1">
        <v>123751</v>
      </c>
      <c r="F229" s="1">
        <v>0</v>
      </c>
      <c r="G229" s="1">
        <v>43153</v>
      </c>
      <c r="H229" s="1">
        <v>80598</v>
      </c>
      <c r="I229" s="1">
        <v>123751</v>
      </c>
      <c r="J229" s="1">
        <v>3274</v>
      </c>
      <c r="K229" s="1">
        <v>120477</v>
      </c>
      <c r="L229" s="1">
        <v>0</v>
      </c>
    </row>
    <row r="230" spans="1:12" x14ac:dyDescent="0.25">
      <c r="A230">
        <v>2016</v>
      </c>
      <c r="B230">
        <v>6</v>
      </c>
      <c r="C230" t="s">
        <v>30</v>
      </c>
      <c r="D230" t="s">
        <v>47</v>
      </c>
      <c r="E230" s="1">
        <v>150832</v>
      </c>
      <c r="F230" s="1">
        <v>0</v>
      </c>
      <c r="G230" s="1">
        <v>43153</v>
      </c>
      <c r="H230" s="1">
        <v>107678</v>
      </c>
      <c r="I230" s="1">
        <v>150832</v>
      </c>
      <c r="J230" s="1">
        <v>3943</v>
      </c>
      <c r="K230" s="1">
        <v>146889</v>
      </c>
      <c r="L230" s="1">
        <v>0</v>
      </c>
    </row>
    <row r="231" spans="1:12" x14ac:dyDescent="0.25">
      <c r="A231">
        <v>2016</v>
      </c>
      <c r="B231">
        <v>7</v>
      </c>
      <c r="C231" t="s">
        <v>31</v>
      </c>
      <c r="D231" t="s">
        <v>47</v>
      </c>
      <c r="E231" s="1">
        <v>132611</v>
      </c>
      <c r="F231" s="1">
        <v>0</v>
      </c>
      <c r="G231" s="1">
        <v>43153</v>
      </c>
      <c r="H231" s="1">
        <v>89458</v>
      </c>
      <c r="I231" s="1">
        <v>132611</v>
      </c>
      <c r="J231" s="1">
        <v>3294</v>
      </c>
      <c r="K231" s="1">
        <v>129318</v>
      </c>
      <c r="L231" s="1">
        <v>0</v>
      </c>
    </row>
    <row r="232" spans="1:12" x14ac:dyDescent="0.25">
      <c r="A232">
        <v>2016</v>
      </c>
      <c r="B232">
        <v>8</v>
      </c>
      <c r="C232" t="s">
        <v>32</v>
      </c>
      <c r="D232" t="s">
        <v>47</v>
      </c>
      <c r="E232" s="1">
        <v>140285</v>
      </c>
      <c r="F232" s="1">
        <v>0</v>
      </c>
      <c r="G232" s="1">
        <v>44904</v>
      </c>
      <c r="H232" s="1">
        <v>95382</v>
      </c>
      <c r="I232" s="1">
        <v>140285</v>
      </c>
      <c r="J232" s="1">
        <v>3552</v>
      </c>
      <c r="K232" s="1">
        <v>136733</v>
      </c>
      <c r="L232" s="1">
        <v>0</v>
      </c>
    </row>
    <row r="233" spans="1:12" x14ac:dyDescent="0.25">
      <c r="A233">
        <v>2016</v>
      </c>
      <c r="B233">
        <v>9</v>
      </c>
      <c r="C233" t="s">
        <v>33</v>
      </c>
      <c r="D233" t="s">
        <v>47</v>
      </c>
      <c r="E233" s="1">
        <v>133506</v>
      </c>
      <c r="F233" s="1">
        <v>0</v>
      </c>
      <c r="G233" s="1">
        <v>44904</v>
      </c>
      <c r="H233" s="1">
        <v>88603</v>
      </c>
      <c r="I233" s="1">
        <v>133506</v>
      </c>
      <c r="J233" s="1">
        <v>3628</v>
      </c>
      <c r="K233" s="1">
        <v>129879</v>
      </c>
      <c r="L233" s="1">
        <v>0</v>
      </c>
    </row>
    <row r="234" spans="1:12" x14ac:dyDescent="0.25">
      <c r="A234">
        <v>2016</v>
      </c>
      <c r="B234">
        <v>10</v>
      </c>
      <c r="C234" t="s">
        <v>22</v>
      </c>
      <c r="D234" t="s">
        <v>47</v>
      </c>
      <c r="E234" s="1">
        <v>109273.2101</v>
      </c>
      <c r="F234" s="1">
        <v>0</v>
      </c>
      <c r="G234" s="1">
        <v>40314.922449999998</v>
      </c>
      <c r="H234" s="1">
        <v>68958.287649999998</v>
      </c>
      <c r="I234" s="1">
        <v>109273.2101</v>
      </c>
      <c r="J234" s="1">
        <v>3086.0940799999998</v>
      </c>
      <c r="K234" s="1">
        <v>106187.11599999999</v>
      </c>
      <c r="L234" s="1">
        <v>0</v>
      </c>
    </row>
    <row r="235" spans="1:12" x14ac:dyDescent="0.25">
      <c r="A235">
        <v>2016</v>
      </c>
      <c r="B235">
        <v>11</v>
      </c>
      <c r="C235" t="s">
        <v>23</v>
      </c>
      <c r="D235" t="s">
        <v>47</v>
      </c>
      <c r="E235" s="1">
        <v>126507.0426</v>
      </c>
      <c r="F235" s="1">
        <v>0</v>
      </c>
      <c r="G235" s="1">
        <v>37889.73633</v>
      </c>
      <c r="H235" s="1">
        <v>88617.30631</v>
      </c>
      <c r="I235" s="1">
        <v>126507.0426</v>
      </c>
      <c r="J235" s="1">
        <v>3619.797458</v>
      </c>
      <c r="K235" s="1">
        <v>122887.2452</v>
      </c>
      <c r="L235" s="1">
        <v>0</v>
      </c>
    </row>
    <row r="236" spans="1:12" x14ac:dyDescent="0.25">
      <c r="A236">
        <v>2016</v>
      </c>
      <c r="B236">
        <v>12</v>
      </c>
      <c r="C236" t="s">
        <v>24</v>
      </c>
      <c r="D236" t="s">
        <v>47</v>
      </c>
      <c r="E236" s="1">
        <v>122240.57490000001</v>
      </c>
      <c r="F236" s="1">
        <v>0</v>
      </c>
      <c r="G236" s="1">
        <v>42517.256329999997</v>
      </c>
      <c r="H236" s="1">
        <v>79723.318570000003</v>
      </c>
      <c r="I236" s="1">
        <v>122240.57490000001</v>
      </c>
      <c r="J236" s="1">
        <v>3584.43768</v>
      </c>
      <c r="K236" s="1">
        <v>118656.1372</v>
      </c>
      <c r="L236" s="1">
        <v>0</v>
      </c>
    </row>
    <row r="237" spans="1:12" x14ac:dyDescent="0.25">
      <c r="A237">
        <v>2017</v>
      </c>
      <c r="B237">
        <v>1</v>
      </c>
      <c r="C237" t="s">
        <v>25</v>
      </c>
      <c r="D237" t="s">
        <v>47</v>
      </c>
      <c r="E237" s="1">
        <v>124666.23699999999</v>
      </c>
      <c r="F237" s="1">
        <v>0</v>
      </c>
      <c r="G237" s="1">
        <v>41528.235690000001</v>
      </c>
      <c r="H237" s="1">
        <v>83138.001319999996</v>
      </c>
      <c r="I237" s="1">
        <v>124666.23699999999</v>
      </c>
      <c r="J237" s="1">
        <v>2640.7588700000001</v>
      </c>
      <c r="K237" s="1">
        <v>122025.47809999999</v>
      </c>
      <c r="L237" s="1">
        <v>0</v>
      </c>
    </row>
    <row r="238" spans="1:12" x14ac:dyDescent="0.25">
      <c r="A238">
        <v>2017</v>
      </c>
      <c r="B238">
        <v>2</v>
      </c>
      <c r="C238" t="s">
        <v>26</v>
      </c>
      <c r="D238" t="s">
        <v>47</v>
      </c>
      <c r="E238" s="1">
        <v>111385.17419999999</v>
      </c>
      <c r="F238" s="1">
        <v>0</v>
      </c>
      <c r="G238" s="1">
        <v>38738.390270000004</v>
      </c>
      <c r="H238" s="1">
        <v>72646.783979999993</v>
      </c>
      <c r="I238" s="1">
        <v>111385.17419999999</v>
      </c>
      <c r="J238" s="1">
        <v>2724.1964379999999</v>
      </c>
      <c r="K238" s="1">
        <v>108660.97779999999</v>
      </c>
      <c r="L238" s="1">
        <v>0</v>
      </c>
    </row>
    <row r="239" spans="1:12" x14ac:dyDescent="0.25">
      <c r="A239">
        <v>2017</v>
      </c>
      <c r="B239">
        <v>3</v>
      </c>
      <c r="C239" t="s">
        <v>27</v>
      </c>
      <c r="D239" t="s">
        <v>47</v>
      </c>
      <c r="E239" s="1">
        <v>138115.69579999999</v>
      </c>
      <c r="F239" s="1">
        <v>0</v>
      </c>
      <c r="G239" s="1">
        <v>44424.740279999998</v>
      </c>
      <c r="H239" s="1">
        <v>93690.955489999993</v>
      </c>
      <c r="I239" s="1">
        <v>138115.69579999999</v>
      </c>
      <c r="J239" s="1">
        <v>3702.4394000000002</v>
      </c>
      <c r="K239" s="1">
        <v>134413.25640000001</v>
      </c>
      <c r="L239" s="1">
        <v>0</v>
      </c>
    </row>
    <row r="240" spans="1:12" x14ac:dyDescent="0.25">
      <c r="A240">
        <v>2017</v>
      </c>
      <c r="B240">
        <v>4</v>
      </c>
      <c r="C240" t="s">
        <v>28</v>
      </c>
      <c r="D240" t="s">
        <v>47</v>
      </c>
      <c r="E240" s="1">
        <v>119889.2378</v>
      </c>
      <c r="F240" s="1">
        <v>0</v>
      </c>
      <c r="G240" s="1">
        <v>41498.62055</v>
      </c>
      <c r="H240" s="1">
        <v>78390.61722</v>
      </c>
      <c r="I240" s="1">
        <v>119889.2378</v>
      </c>
      <c r="J240" s="1">
        <v>2926.6157250000001</v>
      </c>
      <c r="K240" s="1">
        <v>116962.622</v>
      </c>
      <c r="L240" s="1">
        <v>0</v>
      </c>
    </row>
    <row r="241" spans="1:12" x14ac:dyDescent="0.25">
      <c r="A241">
        <v>2017</v>
      </c>
      <c r="B241">
        <v>5</v>
      </c>
      <c r="C241" t="s">
        <v>29</v>
      </c>
      <c r="D241" t="s">
        <v>47</v>
      </c>
      <c r="E241" s="1">
        <v>154468.90729999999</v>
      </c>
      <c r="F241" s="1">
        <v>0</v>
      </c>
      <c r="G241" s="1">
        <v>45933.188880000002</v>
      </c>
      <c r="H241" s="1">
        <v>108535.7184</v>
      </c>
      <c r="I241" s="1">
        <v>154468.90729999999</v>
      </c>
      <c r="J241" s="1">
        <v>3648.390054</v>
      </c>
      <c r="K241" s="1">
        <v>150820.5172</v>
      </c>
      <c r="L241" s="1">
        <v>0</v>
      </c>
    </row>
    <row r="242" spans="1:12" x14ac:dyDescent="0.25">
      <c r="A242">
        <v>2017</v>
      </c>
      <c r="B242">
        <v>6</v>
      </c>
      <c r="C242" t="s">
        <v>30</v>
      </c>
      <c r="D242" t="s">
        <v>47</v>
      </c>
      <c r="E242" s="1">
        <v>141846.30189999999</v>
      </c>
      <c r="F242" s="1">
        <v>0</v>
      </c>
      <c r="G242" s="1">
        <v>45937.695169999999</v>
      </c>
      <c r="H242" s="1">
        <v>95908.606759999995</v>
      </c>
      <c r="I242" s="1">
        <v>141846.30189999999</v>
      </c>
      <c r="J242" s="1">
        <v>3905.8576330000001</v>
      </c>
      <c r="K242" s="1">
        <v>137940.4443</v>
      </c>
      <c r="L242" s="1">
        <v>0</v>
      </c>
    </row>
    <row r="243" spans="1:12" x14ac:dyDescent="0.25">
      <c r="A243">
        <v>2017</v>
      </c>
      <c r="B243">
        <v>7</v>
      </c>
      <c r="C243" t="s">
        <v>31</v>
      </c>
      <c r="D243" t="s">
        <v>47</v>
      </c>
      <c r="E243" s="1">
        <v>143659.91639999999</v>
      </c>
      <c r="F243" s="1">
        <v>0</v>
      </c>
      <c r="G243" s="1">
        <v>45645.958429999999</v>
      </c>
      <c r="H243" s="1">
        <v>98013.957949999996</v>
      </c>
      <c r="I243" s="1">
        <v>143659.91639999999</v>
      </c>
      <c r="J243" s="1">
        <v>3140.0525520000001</v>
      </c>
      <c r="K243" s="1">
        <v>140519.86379999999</v>
      </c>
      <c r="L243" s="1">
        <v>0</v>
      </c>
    </row>
    <row r="244" spans="1:12" x14ac:dyDescent="0.25">
      <c r="A244">
        <v>2017</v>
      </c>
      <c r="B244">
        <v>8</v>
      </c>
      <c r="C244" t="s">
        <v>32</v>
      </c>
      <c r="D244" t="s">
        <v>47</v>
      </c>
      <c r="E244" s="1">
        <v>136601.92000000001</v>
      </c>
      <c r="F244" s="1">
        <v>0</v>
      </c>
      <c r="G244" s="1">
        <v>45289.846689999998</v>
      </c>
      <c r="H244" s="1">
        <v>91312.073269999993</v>
      </c>
      <c r="I244" s="1">
        <v>136601.92000000001</v>
      </c>
      <c r="J244" s="1">
        <v>2622.7434400000002</v>
      </c>
      <c r="K244" s="1">
        <v>133979.1765</v>
      </c>
      <c r="L244" s="1">
        <v>0</v>
      </c>
    </row>
    <row r="245" spans="1:12" x14ac:dyDescent="0.25">
      <c r="A245">
        <v>2017</v>
      </c>
      <c r="B245">
        <v>9</v>
      </c>
      <c r="C245" t="s">
        <v>33</v>
      </c>
      <c r="D245" t="s">
        <v>47</v>
      </c>
      <c r="E245" s="1">
        <v>130849.4492</v>
      </c>
      <c r="F245" s="1">
        <v>0</v>
      </c>
      <c r="G245" s="1">
        <v>46680.908580000003</v>
      </c>
      <c r="H245" s="1">
        <v>84168.540630000003</v>
      </c>
      <c r="I245" s="1">
        <v>130849.4492</v>
      </c>
      <c r="J245" s="1">
        <v>2226.2509639999998</v>
      </c>
      <c r="K245" s="1">
        <v>128623.1982</v>
      </c>
      <c r="L245" s="1">
        <v>0</v>
      </c>
    </row>
    <row r="246" spans="1:12" x14ac:dyDescent="0.25">
      <c r="A246">
        <v>2017</v>
      </c>
      <c r="B246">
        <v>10</v>
      </c>
      <c r="C246" t="s">
        <v>22</v>
      </c>
      <c r="D246" t="s">
        <v>47</v>
      </c>
      <c r="E246" s="1">
        <v>116834.1634</v>
      </c>
      <c r="F246" s="1">
        <v>0</v>
      </c>
      <c r="G246" s="1">
        <v>43280.416109999998</v>
      </c>
      <c r="H246" s="1">
        <v>73553.747289999999</v>
      </c>
      <c r="I246" s="1">
        <v>116834.1634</v>
      </c>
      <c r="J246" s="1">
        <v>353.73243339999999</v>
      </c>
      <c r="K246" s="1">
        <v>116480.431</v>
      </c>
      <c r="L246" s="1">
        <v>0</v>
      </c>
    </row>
    <row r="247" spans="1:12" x14ac:dyDescent="0.25">
      <c r="A247">
        <v>2017</v>
      </c>
      <c r="B247">
        <v>11</v>
      </c>
      <c r="C247" t="s">
        <v>23</v>
      </c>
      <c r="D247" t="s">
        <v>47</v>
      </c>
      <c r="E247" s="1">
        <v>130705.5208</v>
      </c>
      <c r="F247" s="1">
        <v>0</v>
      </c>
      <c r="G247" s="1">
        <v>43770.477910000001</v>
      </c>
      <c r="H247" s="1">
        <v>86935.042889999997</v>
      </c>
      <c r="I247" s="1">
        <v>130705.5208</v>
      </c>
      <c r="J247" s="1">
        <v>327.52539730000001</v>
      </c>
      <c r="K247" s="1">
        <v>130377.9954</v>
      </c>
      <c r="L247" s="1">
        <v>0</v>
      </c>
    </row>
    <row r="248" spans="1:12" x14ac:dyDescent="0.25">
      <c r="A248">
        <v>2017</v>
      </c>
      <c r="B248">
        <v>12</v>
      </c>
      <c r="C248" t="s">
        <v>24</v>
      </c>
      <c r="D248" t="s">
        <v>47</v>
      </c>
      <c r="E248" s="1">
        <v>148125.03390000001</v>
      </c>
      <c r="F248" s="1">
        <v>0</v>
      </c>
      <c r="G248" s="1">
        <v>43884.407140000003</v>
      </c>
      <c r="H248" s="1">
        <v>104240.62669999999</v>
      </c>
      <c r="I248" s="1">
        <v>148125.03390000001</v>
      </c>
      <c r="J248" s="1">
        <v>318.10957739999998</v>
      </c>
      <c r="K248" s="1">
        <v>147806.92430000001</v>
      </c>
      <c r="L248" s="1">
        <v>0</v>
      </c>
    </row>
    <row r="249" spans="1:12" x14ac:dyDescent="0.25">
      <c r="A249">
        <v>2018</v>
      </c>
      <c r="B249">
        <v>1</v>
      </c>
      <c r="C249" t="s">
        <v>25</v>
      </c>
      <c r="D249" t="s">
        <v>47</v>
      </c>
      <c r="E249" s="1">
        <v>118162.7356</v>
      </c>
      <c r="F249" s="1">
        <v>0</v>
      </c>
      <c r="G249" s="1">
        <v>44098.604549999996</v>
      </c>
      <c r="H249" s="1">
        <v>74064.131080000006</v>
      </c>
      <c r="I249" s="1">
        <v>118162.7356</v>
      </c>
      <c r="J249" s="1">
        <v>242.1672456</v>
      </c>
      <c r="K249" s="1">
        <v>117920.5684</v>
      </c>
      <c r="L249" s="1">
        <v>0</v>
      </c>
    </row>
    <row r="250" spans="1:12" x14ac:dyDescent="0.25">
      <c r="A250">
        <v>2018</v>
      </c>
      <c r="B250">
        <v>2</v>
      </c>
      <c r="C250" t="s">
        <v>26</v>
      </c>
      <c r="D250" t="s">
        <v>47</v>
      </c>
      <c r="E250" s="1">
        <v>114726.02770000001</v>
      </c>
      <c r="F250" s="1">
        <v>0</v>
      </c>
      <c r="G250" s="1">
        <v>44585.89675</v>
      </c>
      <c r="H250" s="1">
        <v>70140.130980000002</v>
      </c>
      <c r="I250" s="1">
        <v>114726.02770000001</v>
      </c>
      <c r="J250" s="1">
        <v>329.5881622</v>
      </c>
      <c r="K250" s="1">
        <v>114396.4396</v>
      </c>
      <c r="L250" s="1">
        <v>0</v>
      </c>
    </row>
    <row r="251" spans="1:12" x14ac:dyDescent="0.25">
      <c r="A251">
        <v>2018</v>
      </c>
      <c r="B251">
        <v>3</v>
      </c>
      <c r="C251" t="s">
        <v>27</v>
      </c>
      <c r="D251" t="s">
        <v>47</v>
      </c>
      <c r="E251" s="1">
        <v>128663.7138</v>
      </c>
      <c r="F251" s="1">
        <v>0</v>
      </c>
      <c r="G251" s="1">
        <v>44600.547339999997</v>
      </c>
      <c r="H251" s="1">
        <v>84063.166450000004</v>
      </c>
      <c r="I251" s="1">
        <v>128663.7138</v>
      </c>
      <c r="J251" s="1">
        <v>335.98208290000002</v>
      </c>
      <c r="K251" s="1">
        <v>128327.7317</v>
      </c>
      <c r="L251" s="1">
        <v>0</v>
      </c>
    </row>
    <row r="252" spans="1:12" x14ac:dyDescent="0.25">
      <c r="A252">
        <v>2018</v>
      </c>
      <c r="B252">
        <v>4</v>
      </c>
      <c r="C252" t="s">
        <v>28</v>
      </c>
      <c r="D252" t="s">
        <v>47</v>
      </c>
      <c r="E252" s="1">
        <v>148255.0324</v>
      </c>
      <c r="F252" s="1">
        <v>0</v>
      </c>
      <c r="G252" s="1">
        <v>44882.540690000002</v>
      </c>
      <c r="H252" s="1">
        <v>103372.4917</v>
      </c>
      <c r="I252" s="1">
        <v>148255.0324</v>
      </c>
      <c r="J252" s="1">
        <v>755.48445249999997</v>
      </c>
      <c r="K252" s="1">
        <v>147499.54790000001</v>
      </c>
      <c r="L252" s="1">
        <v>0</v>
      </c>
    </row>
    <row r="253" spans="1:12" x14ac:dyDescent="0.25">
      <c r="A253">
        <v>2018</v>
      </c>
      <c r="B253">
        <v>5</v>
      </c>
      <c r="C253" t="s">
        <v>29</v>
      </c>
      <c r="D253" t="s">
        <v>47</v>
      </c>
      <c r="E253" s="1">
        <v>138577.14369999999</v>
      </c>
      <c r="F253" s="1">
        <v>0</v>
      </c>
      <c r="G253" s="1">
        <v>44787.02721</v>
      </c>
      <c r="H253" s="1">
        <v>93790.116469999994</v>
      </c>
      <c r="I253" s="1">
        <v>138577.14369999999</v>
      </c>
      <c r="J253" s="1">
        <v>894.06834049999998</v>
      </c>
      <c r="K253" s="1">
        <v>137683.0753</v>
      </c>
      <c r="L253" s="1">
        <v>0</v>
      </c>
    </row>
    <row r="254" spans="1:12" x14ac:dyDescent="0.25">
      <c r="A254">
        <v>2018</v>
      </c>
      <c r="B254">
        <v>6</v>
      </c>
      <c r="C254" t="s">
        <v>30</v>
      </c>
      <c r="D254" t="s">
        <v>47</v>
      </c>
      <c r="E254" s="1">
        <v>141770.28349999999</v>
      </c>
      <c r="F254" s="1">
        <v>0</v>
      </c>
      <c r="G254" s="1">
        <v>44682.421040000001</v>
      </c>
      <c r="H254" s="1">
        <v>97087.862450000001</v>
      </c>
      <c r="I254" s="1">
        <v>141770.28349999999</v>
      </c>
      <c r="J254" s="1">
        <v>456.13977460000001</v>
      </c>
      <c r="K254" s="1">
        <v>141314.14369999999</v>
      </c>
      <c r="L254" s="1">
        <v>0</v>
      </c>
    </row>
    <row r="255" spans="1:12" x14ac:dyDescent="0.25">
      <c r="A255">
        <v>2018</v>
      </c>
      <c r="B255">
        <v>7</v>
      </c>
      <c r="C255" t="s">
        <v>31</v>
      </c>
      <c r="D255" t="s">
        <v>47</v>
      </c>
      <c r="E255" s="1">
        <v>138939.4301</v>
      </c>
      <c r="F255" s="1">
        <v>0</v>
      </c>
      <c r="G255" s="1">
        <v>44594.826730000001</v>
      </c>
      <c r="H255" s="1">
        <v>94344.603369999997</v>
      </c>
      <c r="I255" s="1">
        <v>138939.4301</v>
      </c>
      <c r="J255" s="1">
        <v>291.72712749999999</v>
      </c>
      <c r="K255" s="1">
        <v>138647.70300000001</v>
      </c>
      <c r="L255" s="1">
        <v>0</v>
      </c>
    </row>
    <row r="256" spans="1:12" x14ac:dyDescent="0.25">
      <c r="A256">
        <v>2018</v>
      </c>
      <c r="B256">
        <v>8</v>
      </c>
      <c r="C256" t="s">
        <v>32</v>
      </c>
      <c r="D256" t="s">
        <v>47</v>
      </c>
      <c r="E256" s="1">
        <v>140367.51149999999</v>
      </c>
      <c r="F256" s="1">
        <v>0</v>
      </c>
      <c r="G256" s="1">
        <v>44531.643089999998</v>
      </c>
      <c r="H256" s="1">
        <v>95835.868390000003</v>
      </c>
      <c r="I256" s="1">
        <v>140367.51149999999</v>
      </c>
      <c r="J256" s="1">
        <v>288.96023769999999</v>
      </c>
      <c r="K256" s="1">
        <v>140078.55119999999</v>
      </c>
      <c r="L256" s="1">
        <v>0</v>
      </c>
    </row>
    <row r="257" spans="1:12" x14ac:dyDescent="0.25">
      <c r="A257">
        <v>2018</v>
      </c>
      <c r="B257">
        <v>9</v>
      </c>
      <c r="C257" t="s">
        <v>33</v>
      </c>
      <c r="D257" t="s">
        <v>47</v>
      </c>
      <c r="E257" s="1">
        <v>133036.48060000001</v>
      </c>
      <c r="F257" s="1">
        <v>0</v>
      </c>
      <c r="G257" s="1">
        <v>44336.255319999997</v>
      </c>
      <c r="H257" s="1">
        <v>88700.225229999996</v>
      </c>
      <c r="I257" s="1">
        <v>133036.48060000001</v>
      </c>
      <c r="J257" s="1">
        <v>377.42504059999999</v>
      </c>
      <c r="K257" s="1">
        <v>132659.05549999999</v>
      </c>
      <c r="L257" s="1">
        <v>0</v>
      </c>
    </row>
    <row r="258" spans="1:12" x14ac:dyDescent="0.25">
      <c r="A258">
        <v>2018</v>
      </c>
      <c r="B258">
        <v>10</v>
      </c>
      <c r="C258" t="s">
        <v>22</v>
      </c>
      <c r="D258" t="s">
        <v>47</v>
      </c>
      <c r="E258" s="1">
        <v>127067.8717</v>
      </c>
      <c r="F258" s="1">
        <v>0</v>
      </c>
      <c r="G258" s="1">
        <v>44432.240709999998</v>
      </c>
      <c r="H258" s="1">
        <v>82635.631009999997</v>
      </c>
      <c r="I258" s="1">
        <v>127067.8717</v>
      </c>
      <c r="J258" s="1">
        <v>349.9165845</v>
      </c>
      <c r="K258" s="1">
        <v>126717.95510000001</v>
      </c>
      <c r="L258" s="1">
        <v>0</v>
      </c>
    </row>
    <row r="259" spans="1:12" x14ac:dyDescent="0.25">
      <c r="A259">
        <v>2018</v>
      </c>
      <c r="B259">
        <v>11</v>
      </c>
      <c r="C259" t="s">
        <v>23</v>
      </c>
      <c r="D259" t="s">
        <v>47</v>
      </c>
      <c r="E259" s="1">
        <v>106561.18730000001</v>
      </c>
      <c r="F259" s="1">
        <v>0</v>
      </c>
      <c r="G259" s="1">
        <v>44492.400959999999</v>
      </c>
      <c r="H259" s="1">
        <v>62068.786319999999</v>
      </c>
      <c r="I259" s="1">
        <v>106561.18730000001</v>
      </c>
      <c r="J259" s="1">
        <v>508.71408250000002</v>
      </c>
      <c r="K259" s="1">
        <v>106052.47319999999</v>
      </c>
      <c r="L259" s="1">
        <v>0</v>
      </c>
    </row>
    <row r="260" spans="1:12" x14ac:dyDescent="0.25">
      <c r="A260">
        <v>2018</v>
      </c>
      <c r="B260">
        <v>12</v>
      </c>
      <c r="C260" t="s">
        <v>24</v>
      </c>
      <c r="D260" t="s">
        <v>47</v>
      </c>
      <c r="E260" s="1">
        <v>123629.8222</v>
      </c>
      <c r="F260" s="1">
        <v>0</v>
      </c>
      <c r="G260" s="1">
        <v>44547.673130000003</v>
      </c>
      <c r="H260" s="1">
        <v>79082.149109999998</v>
      </c>
      <c r="I260" s="1">
        <v>123629.8222</v>
      </c>
      <c r="J260" s="1">
        <v>1332.4547219999999</v>
      </c>
      <c r="K260" s="1">
        <v>122297.36749999999</v>
      </c>
      <c r="L260" s="1">
        <v>0</v>
      </c>
    </row>
    <row r="261" spans="1:12" x14ac:dyDescent="0.25">
      <c r="A261">
        <v>2019</v>
      </c>
      <c r="B261">
        <v>1</v>
      </c>
      <c r="C261" t="s">
        <v>25</v>
      </c>
      <c r="D261" t="s">
        <v>47</v>
      </c>
      <c r="E261" s="1">
        <v>113511.34359999999</v>
      </c>
      <c r="F261" s="1">
        <v>0</v>
      </c>
      <c r="G261" s="1">
        <v>44588.497539999997</v>
      </c>
      <c r="H261" s="1">
        <v>68922.846019999997</v>
      </c>
      <c r="I261" s="1">
        <v>113511.34359999999</v>
      </c>
      <c r="J261" s="1">
        <v>218.4737835</v>
      </c>
      <c r="K261" s="1">
        <v>113292.8698</v>
      </c>
      <c r="L261" s="1">
        <v>0</v>
      </c>
    </row>
    <row r="262" spans="1:12" x14ac:dyDescent="0.25">
      <c r="A262">
        <v>2019</v>
      </c>
      <c r="B262">
        <v>2</v>
      </c>
      <c r="C262" t="s">
        <v>26</v>
      </c>
      <c r="D262" t="s">
        <v>47</v>
      </c>
      <c r="E262" s="1">
        <v>119949.8054</v>
      </c>
      <c r="F262" s="1">
        <v>0</v>
      </c>
      <c r="G262" s="1">
        <v>44588.733979999997</v>
      </c>
      <c r="H262" s="1">
        <v>75361.071400000001</v>
      </c>
      <c r="I262" s="1">
        <v>119949.8054</v>
      </c>
      <c r="J262" s="1">
        <v>252.82935610000001</v>
      </c>
      <c r="K262" s="1">
        <v>119696.976</v>
      </c>
      <c r="L262" s="1">
        <v>0</v>
      </c>
    </row>
    <row r="263" spans="1:12" x14ac:dyDescent="0.25">
      <c r="A263">
        <v>2019</v>
      </c>
      <c r="B263">
        <v>3</v>
      </c>
      <c r="C263" t="s">
        <v>27</v>
      </c>
      <c r="D263" t="s">
        <v>47</v>
      </c>
      <c r="E263" s="1">
        <v>125000.2251</v>
      </c>
      <c r="F263" s="1">
        <v>0</v>
      </c>
      <c r="G263" s="1">
        <v>44587.660040000002</v>
      </c>
      <c r="H263" s="1">
        <v>80412.565059999994</v>
      </c>
      <c r="I263" s="1">
        <v>125000.2251</v>
      </c>
      <c r="J263" s="1">
        <v>297.8356895</v>
      </c>
      <c r="K263" s="1">
        <v>124702.3894</v>
      </c>
      <c r="L263" s="1">
        <v>0</v>
      </c>
    </row>
    <row r="264" spans="1:12" x14ac:dyDescent="0.25">
      <c r="A264">
        <v>2019</v>
      </c>
      <c r="B264">
        <v>4</v>
      </c>
      <c r="C264" t="s">
        <v>28</v>
      </c>
      <c r="D264" t="s">
        <v>47</v>
      </c>
      <c r="E264" s="1">
        <v>146888.09039999999</v>
      </c>
      <c r="F264" s="1">
        <v>0</v>
      </c>
      <c r="G264" s="1">
        <v>44560.852700000003</v>
      </c>
      <c r="H264" s="1">
        <v>102327.2377</v>
      </c>
      <c r="I264" s="1">
        <v>146888.09039999999</v>
      </c>
      <c r="J264" s="1">
        <v>112.1177721</v>
      </c>
      <c r="K264" s="1">
        <v>146775.97260000001</v>
      </c>
      <c r="L264" s="1">
        <v>0</v>
      </c>
    </row>
    <row r="265" spans="1:12" x14ac:dyDescent="0.25">
      <c r="A265">
        <v>2019</v>
      </c>
      <c r="B265">
        <v>5</v>
      </c>
      <c r="C265" t="s">
        <v>29</v>
      </c>
      <c r="D265" t="s">
        <v>47</v>
      </c>
      <c r="E265" s="1">
        <v>145542.97529999999</v>
      </c>
      <c r="F265" s="1">
        <v>0</v>
      </c>
      <c r="G265" s="1">
        <v>44540.291389999999</v>
      </c>
      <c r="H265" s="1">
        <v>101002.6839</v>
      </c>
      <c r="I265" s="1">
        <v>145542.97529999999</v>
      </c>
      <c r="J265" s="1">
        <v>352.16006820000001</v>
      </c>
      <c r="K265" s="1">
        <v>145190.81520000001</v>
      </c>
      <c r="L265" s="1">
        <v>0</v>
      </c>
    </row>
    <row r="266" spans="1:12" x14ac:dyDescent="0.25">
      <c r="A266">
        <v>2019</v>
      </c>
      <c r="B266">
        <v>6</v>
      </c>
      <c r="C266" t="s">
        <v>30</v>
      </c>
      <c r="D266" t="s">
        <v>47</v>
      </c>
      <c r="E266" s="1">
        <v>138382.7715</v>
      </c>
      <c r="F266" s="1">
        <v>0</v>
      </c>
      <c r="G266" s="1">
        <v>44527.370510000001</v>
      </c>
      <c r="H266" s="1">
        <v>93855.401029999994</v>
      </c>
      <c r="I266" s="1">
        <v>138382.7715</v>
      </c>
      <c r="J266" s="1">
        <v>282.88492489999999</v>
      </c>
      <c r="K266" s="1">
        <v>138099.8866</v>
      </c>
      <c r="L266" s="1">
        <v>0</v>
      </c>
    </row>
    <row r="267" spans="1:12" x14ac:dyDescent="0.25">
      <c r="A267">
        <v>2019</v>
      </c>
      <c r="B267">
        <v>7</v>
      </c>
      <c r="C267" t="s">
        <v>31</v>
      </c>
      <c r="D267" t="s">
        <v>47</v>
      </c>
      <c r="E267" s="1">
        <v>136313.32569999999</v>
      </c>
      <c r="F267" s="1">
        <v>0</v>
      </c>
      <c r="G267" s="1">
        <v>44521.238120000002</v>
      </c>
      <c r="H267" s="1">
        <v>91792.087610000002</v>
      </c>
      <c r="I267" s="1">
        <v>136313.32569999999</v>
      </c>
      <c r="J267" s="1">
        <v>269.16105440000001</v>
      </c>
      <c r="K267" s="1">
        <v>136044.16469999999</v>
      </c>
      <c r="L267" s="1">
        <v>0</v>
      </c>
    </row>
    <row r="268" spans="1:12" x14ac:dyDescent="0.25">
      <c r="A268">
        <v>2019</v>
      </c>
      <c r="B268">
        <v>8</v>
      </c>
      <c r="C268" t="s">
        <v>32</v>
      </c>
      <c r="D268" t="s">
        <v>47</v>
      </c>
      <c r="E268" s="1">
        <v>122477.9953</v>
      </c>
      <c r="F268" s="1">
        <v>0</v>
      </c>
      <c r="G268" s="1">
        <v>44520.292220000003</v>
      </c>
      <c r="H268" s="1">
        <v>77957.703120000006</v>
      </c>
      <c r="I268" s="1">
        <v>122477.9953</v>
      </c>
      <c r="J268" s="1">
        <v>281.99577749999997</v>
      </c>
      <c r="K268" s="1">
        <v>122195.9996</v>
      </c>
      <c r="L268" s="1">
        <v>0</v>
      </c>
    </row>
    <row r="269" spans="1:12" x14ac:dyDescent="0.25">
      <c r="A269">
        <v>2019</v>
      </c>
      <c r="B269">
        <v>9</v>
      </c>
      <c r="C269" t="s">
        <v>33</v>
      </c>
      <c r="D269" t="s">
        <v>47</v>
      </c>
      <c r="E269" s="1">
        <v>127724.70269999999</v>
      </c>
      <c r="F269" s="1">
        <v>0</v>
      </c>
      <c r="G269" s="1">
        <v>44537.022839999998</v>
      </c>
      <c r="H269" s="1">
        <v>83187.679829999994</v>
      </c>
      <c r="I269" s="1">
        <v>127724.70269999999</v>
      </c>
      <c r="J269" s="1">
        <v>394.48548979999998</v>
      </c>
      <c r="K269" s="1">
        <v>127330.2172</v>
      </c>
      <c r="L269" s="1">
        <v>0</v>
      </c>
    </row>
    <row r="270" spans="1:12" x14ac:dyDescent="0.25">
      <c r="A270">
        <v>2019</v>
      </c>
      <c r="B270">
        <v>10</v>
      </c>
      <c r="C270" t="s">
        <v>22</v>
      </c>
      <c r="D270" t="s">
        <v>47</v>
      </c>
      <c r="E270" s="1">
        <v>120659.0803</v>
      </c>
      <c r="F270" s="1">
        <v>0</v>
      </c>
      <c r="G270" s="1">
        <v>44546.548490000001</v>
      </c>
      <c r="H270" s="1">
        <v>76112.531830000007</v>
      </c>
      <c r="I270" s="1">
        <v>120659.0803</v>
      </c>
      <c r="J270" s="1">
        <v>368.34145510000002</v>
      </c>
      <c r="K270" s="1">
        <v>120290.7389</v>
      </c>
      <c r="L270" s="1">
        <v>0</v>
      </c>
    </row>
    <row r="271" spans="1:12" x14ac:dyDescent="0.25">
      <c r="A271">
        <v>2019</v>
      </c>
      <c r="B271">
        <v>11</v>
      </c>
      <c r="C271" t="s">
        <v>23</v>
      </c>
      <c r="D271" t="s">
        <v>47</v>
      </c>
      <c r="E271" s="1">
        <v>116460.17849999999</v>
      </c>
      <c r="F271" s="1">
        <v>0</v>
      </c>
      <c r="G271" s="1">
        <v>44551.470999999998</v>
      </c>
      <c r="H271" s="1">
        <v>71908.707479999997</v>
      </c>
      <c r="I271" s="1">
        <v>116460.17849999999</v>
      </c>
      <c r="J271" s="1">
        <v>391.30728310000001</v>
      </c>
      <c r="K271" s="1">
        <v>116068.87119999999</v>
      </c>
      <c r="L271" s="1">
        <v>0</v>
      </c>
    </row>
    <row r="272" spans="1:12" x14ac:dyDescent="0.25">
      <c r="A272">
        <v>2019</v>
      </c>
      <c r="B272">
        <v>12</v>
      </c>
      <c r="C272" t="s">
        <v>24</v>
      </c>
      <c r="D272" t="s">
        <v>47</v>
      </c>
      <c r="E272" s="1">
        <v>109950.09819999999</v>
      </c>
      <c r="F272" s="1">
        <v>0</v>
      </c>
      <c r="G272" s="1">
        <v>44551.81626</v>
      </c>
      <c r="H272" s="1">
        <v>65398.281940000001</v>
      </c>
      <c r="I272" s="1">
        <v>109950.09819999999</v>
      </c>
      <c r="J272" s="1">
        <v>151.5976671</v>
      </c>
      <c r="K272" s="1">
        <v>109798.50049999999</v>
      </c>
      <c r="L272" s="1">
        <v>0</v>
      </c>
    </row>
    <row r="273" spans="1:12" x14ac:dyDescent="0.25">
      <c r="A273">
        <v>2020</v>
      </c>
      <c r="B273">
        <v>1</v>
      </c>
      <c r="C273" t="s">
        <v>25</v>
      </c>
      <c r="D273" t="s">
        <v>47</v>
      </c>
      <c r="E273" s="1">
        <v>114395.5747</v>
      </c>
      <c r="F273" s="1">
        <v>0</v>
      </c>
      <c r="G273" s="1">
        <v>44548.481599999999</v>
      </c>
      <c r="H273" s="1">
        <v>69847.093139999997</v>
      </c>
      <c r="I273" s="1">
        <v>114395.5747</v>
      </c>
      <c r="J273" s="1">
        <v>251.76050720000001</v>
      </c>
      <c r="K273" s="1">
        <v>114143.81419999999</v>
      </c>
      <c r="L273" s="1">
        <v>0</v>
      </c>
    </row>
    <row r="274" spans="1:12" x14ac:dyDescent="0.25">
      <c r="A274">
        <v>2020</v>
      </c>
      <c r="B274">
        <v>2</v>
      </c>
      <c r="C274" t="s">
        <v>26</v>
      </c>
      <c r="D274" t="s">
        <v>47</v>
      </c>
      <c r="E274" s="1">
        <v>110824.19289999999</v>
      </c>
      <c r="F274" s="1">
        <v>0</v>
      </c>
      <c r="G274" s="1">
        <v>44544.822289999996</v>
      </c>
      <c r="H274" s="1">
        <v>66279.370639999994</v>
      </c>
      <c r="I274" s="1">
        <v>110824.19289999999</v>
      </c>
      <c r="J274" s="1">
        <v>208.5275393</v>
      </c>
      <c r="K274" s="1">
        <v>110615.6654</v>
      </c>
      <c r="L274" s="1">
        <v>0</v>
      </c>
    </row>
    <row r="275" spans="1:12" x14ac:dyDescent="0.25">
      <c r="A275">
        <v>2020</v>
      </c>
      <c r="B275">
        <v>3</v>
      </c>
      <c r="C275" t="s">
        <v>27</v>
      </c>
      <c r="D275" t="s">
        <v>47</v>
      </c>
      <c r="E275" s="1">
        <v>114078.8723</v>
      </c>
      <c r="F275" s="1">
        <v>0</v>
      </c>
      <c r="G275" s="1">
        <v>44540.927949999998</v>
      </c>
      <c r="H275" s="1">
        <v>69537.944350000005</v>
      </c>
      <c r="I275" s="1">
        <v>114078.8723</v>
      </c>
      <c r="J275" s="1">
        <v>278.93066299999998</v>
      </c>
      <c r="K275" s="1">
        <v>113799.94160000001</v>
      </c>
      <c r="L275" s="1">
        <v>0</v>
      </c>
    </row>
    <row r="276" spans="1:12" x14ac:dyDescent="0.25">
      <c r="A276">
        <v>2020</v>
      </c>
      <c r="B276">
        <v>4</v>
      </c>
      <c r="C276" t="s">
        <v>28</v>
      </c>
      <c r="D276" t="s">
        <v>47</v>
      </c>
      <c r="E276" s="1">
        <v>111065.18979999999</v>
      </c>
      <c r="F276" s="1">
        <v>0</v>
      </c>
      <c r="G276" s="1">
        <v>44539.116609999997</v>
      </c>
      <c r="H276" s="1">
        <v>66526.073180000007</v>
      </c>
      <c r="I276" s="1">
        <v>111065.18979999999</v>
      </c>
      <c r="J276" s="1">
        <v>1247.969697</v>
      </c>
      <c r="K276" s="1">
        <v>109817.22010000001</v>
      </c>
      <c r="L276" s="1">
        <v>0</v>
      </c>
    </row>
    <row r="277" spans="1:12" x14ac:dyDescent="0.25">
      <c r="A277">
        <v>2020</v>
      </c>
      <c r="B277">
        <v>5</v>
      </c>
      <c r="C277" t="s">
        <v>29</v>
      </c>
      <c r="D277" t="s">
        <v>47</v>
      </c>
      <c r="E277" s="1">
        <v>118019.7564</v>
      </c>
      <c r="F277" s="1">
        <v>0</v>
      </c>
      <c r="G277" s="1">
        <v>44539.009810000003</v>
      </c>
      <c r="H277" s="1">
        <v>73480.746599999999</v>
      </c>
      <c r="I277" s="1">
        <v>118019.7564</v>
      </c>
      <c r="J277" s="1">
        <v>517.67053380000004</v>
      </c>
      <c r="K277" s="1">
        <v>117502.08590000001</v>
      </c>
      <c r="L277" s="1">
        <v>0</v>
      </c>
    </row>
    <row r="278" spans="1:12" x14ac:dyDescent="0.25">
      <c r="A278">
        <v>2020</v>
      </c>
      <c r="B278">
        <v>6</v>
      </c>
      <c r="C278" t="s">
        <v>30</v>
      </c>
      <c r="D278" t="s">
        <v>47</v>
      </c>
      <c r="E278" s="1">
        <v>121697.3958</v>
      </c>
      <c r="F278" s="1">
        <v>0</v>
      </c>
      <c r="G278" s="1">
        <v>44540.067929999997</v>
      </c>
      <c r="H278" s="1">
        <v>77157.327869999994</v>
      </c>
      <c r="I278" s="1">
        <v>121697.3958</v>
      </c>
      <c r="J278" s="1">
        <v>328.02166449999999</v>
      </c>
      <c r="K278" s="1">
        <v>121369.3741</v>
      </c>
      <c r="L278" s="1">
        <v>0</v>
      </c>
    </row>
    <row r="279" spans="1:12" x14ac:dyDescent="0.25">
      <c r="A279">
        <v>2020</v>
      </c>
      <c r="B279">
        <v>7</v>
      </c>
      <c r="C279" t="s">
        <v>31</v>
      </c>
      <c r="D279" t="s">
        <v>47</v>
      </c>
      <c r="E279" s="1">
        <v>125317.02619999999</v>
      </c>
      <c r="F279" s="1">
        <v>0</v>
      </c>
      <c r="G279" s="1">
        <v>44541.779730000002</v>
      </c>
      <c r="H279" s="1">
        <v>80775.246520000001</v>
      </c>
      <c r="I279" s="1">
        <v>125317.02619999999</v>
      </c>
      <c r="J279" s="1">
        <v>258.835399</v>
      </c>
      <c r="K279" s="1">
        <v>125058.1908</v>
      </c>
      <c r="L279" s="1">
        <v>0</v>
      </c>
    </row>
    <row r="280" spans="1:12" x14ac:dyDescent="0.25">
      <c r="A280">
        <v>2020</v>
      </c>
      <c r="B280">
        <v>8</v>
      </c>
      <c r="C280" t="s">
        <v>32</v>
      </c>
      <c r="D280" t="s">
        <v>47</v>
      </c>
      <c r="E280" s="1">
        <v>108765.84669999999</v>
      </c>
      <c r="F280" s="1">
        <v>0</v>
      </c>
      <c r="G280" s="1">
        <v>44543.733130000001</v>
      </c>
      <c r="H280" s="1">
        <v>64222.113570000001</v>
      </c>
      <c r="I280" s="1">
        <v>108765.84669999999</v>
      </c>
      <c r="J280" s="1">
        <v>304.48725139999999</v>
      </c>
      <c r="K280" s="1">
        <v>108461.35950000001</v>
      </c>
      <c r="L280" s="1">
        <v>0</v>
      </c>
    </row>
    <row r="281" spans="1:12" x14ac:dyDescent="0.25">
      <c r="A281">
        <v>2020</v>
      </c>
      <c r="B281">
        <v>9</v>
      </c>
      <c r="C281" t="s">
        <v>33</v>
      </c>
      <c r="D281" t="s">
        <v>47</v>
      </c>
      <c r="E281" s="1">
        <v>121053.6029</v>
      </c>
      <c r="F281" s="1">
        <v>0</v>
      </c>
      <c r="G281" s="1">
        <v>44544.343159999997</v>
      </c>
      <c r="H281" s="1">
        <v>76509.259699999995</v>
      </c>
      <c r="I281" s="1">
        <v>121053.6029</v>
      </c>
      <c r="J281" s="1">
        <v>235.58217300000001</v>
      </c>
      <c r="K281" s="1">
        <v>120818.02069999999</v>
      </c>
      <c r="L281" s="1">
        <v>0</v>
      </c>
    </row>
    <row r="282" spans="1:12" x14ac:dyDescent="0.25">
      <c r="A282">
        <v>2020</v>
      </c>
      <c r="B282">
        <v>10</v>
      </c>
      <c r="C282" t="s">
        <v>22</v>
      </c>
      <c r="D282" t="s">
        <v>47</v>
      </c>
      <c r="E282" s="1">
        <v>117578.7931</v>
      </c>
      <c r="F282" s="1">
        <v>0</v>
      </c>
      <c r="G282" s="1">
        <v>43333.333330000001</v>
      </c>
      <c r="H282" s="1">
        <v>74245.459789999994</v>
      </c>
      <c r="I282" s="1">
        <v>117578.7931</v>
      </c>
      <c r="J282" s="1">
        <v>389.73165449999999</v>
      </c>
      <c r="K282" s="1">
        <v>117189.0615</v>
      </c>
      <c r="L282" s="1">
        <v>0</v>
      </c>
    </row>
    <row r="283" spans="1:12" x14ac:dyDescent="0.25">
      <c r="A283">
        <v>2020</v>
      </c>
      <c r="B283">
        <v>11</v>
      </c>
      <c r="C283" t="s">
        <v>23</v>
      </c>
      <c r="D283" t="s">
        <v>47</v>
      </c>
      <c r="E283" s="1">
        <v>106859.30989999999</v>
      </c>
      <c r="F283" s="1">
        <v>0</v>
      </c>
      <c r="G283" s="1">
        <v>43333.333330000001</v>
      </c>
      <c r="H283" s="1">
        <v>63525.976560000003</v>
      </c>
      <c r="I283" s="1">
        <v>106859.30989999999</v>
      </c>
      <c r="J283" s="1">
        <v>214.1059654</v>
      </c>
      <c r="K283" s="1">
        <v>106645.20389999999</v>
      </c>
      <c r="L283" s="1">
        <v>0</v>
      </c>
    </row>
    <row r="284" spans="1:12" x14ac:dyDescent="0.25">
      <c r="A284">
        <v>2020</v>
      </c>
      <c r="B284">
        <v>12</v>
      </c>
      <c r="C284" t="s">
        <v>24</v>
      </c>
      <c r="D284" t="s">
        <v>47</v>
      </c>
      <c r="E284" s="1">
        <v>110536.85129999999</v>
      </c>
      <c r="F284" s="1">
        <v>0</v>
      </c>
      <c r="G284" s="1">
        <v>43333.333330000001</v>
      </c>
      <c r="H284" s="1">
        <v>67203.517980000004</v>
      </c>
      <c r="I284" s="1">
        <v>110536.85129999999</v>
      </c>
      <c r="J284" s="1">
        <v>262.34313470000001</v>
      </c>
      <c r="K284" s="1">
        <v>110274.5082</v>
      </c>
      <c r="L284" s="1">
        <v>0</v>
      </c>
    </row>
    <row r="285" spans="1:12" x14ac:dyDescent="0.25">
      <c r="A285">
        <v>2021</v>
      </c>
      <c r="B285">
        <v>1</v>
      </c>
      <c r="C285" t="s">
        <v>25</v>
      </c>
      <c r="D285" t="s">
        <v>47</v>
      </c>
      <c r="E285" s="1">
        <v>101790.9371</v>
      </c>
      <c r="F285" s="1">
        <v>0</v>
      </c>
      <c r="G285" s="1">
        <v>43333.333330000001</v>
      </c>
      <c r="H285" s="1">
        <v>58457.603759999998</v>
      </c>
      <c r="I285" s="1">
        <v>101790.9371</v>
      </c>
      <c r="J285" s="1">
        <v>190.46567519999999</v>
      </c>
      <c r="K285" s="1">
        <v>101600.47139999999</v>
      </c>
      <c r="L285" s="1">
        <v>0</v>
      </c>
    </row>
    <row r="286" spans="1:12" x14ac:dyDescent="0.25">
      <c r="A286">
        <v>2021</v>
      </c>
      <c r="B286">
        <v>2</v>
      </c>
      <c r="C286" t="s">
        <v>26</v>
      </c>
      <c r="D286" t="s">
        <v>47</v>
      </c>
      <c r="E286" s="1">
        <v>95935.86262</v>
      </c>
      <c r="F286" s="1">
        <v>0</v>
      </c>
      <c r="G286" s="1">
        <v>43333.333330000001</v>
      </c>
      <c r="H286" s="1">
        <v>52602.529289999999</v>
      </c>
      <c r="I286" s="1">
        <v>95935.86262</v>
      </c>
      <c r="J286" s="1">
        <v>287.50055470000001</v>
      </c>
      <c r="K286" s="1">
        <v>95648.362070000003</v>
      </c>
      <c r="L286" s="1">
        <v>0</v>
      </c>
    </row>
    <row r="287" spans="1:12" x14ac:dyDescent="0.25">
      <c r="A287">
        <v>2021</v>
      </c>
      <c r="B287">
        <v>3</v>
      </c>
      <c r="C287" t="s">
        <v>27</v>
      </c>
      <c r="D287" t="s">
        <v>47</v>
      </c>
      <c r="E287" s="1">
        <v>103056.8245</v>
      </c>
      <c r="F287" s="1">
        <v>0</v>
      </c>
      <c r="G287" s="1">
        <v>43333.333330000001</v>
      </c>
      <c r="H287" s="1">
        <v>59723.491190000001</v>
      </c>
      <c r="I287" s="1">
        <v>103056.8245</v>
      </c>
      <c r="J287" s="1">
        <v>282.4547786</v>
      </c>
      <c r="K287" s="1">
        <v>102774.3697</v>
      </c>
      <c r="L287" s="1">
        <v>0</v>
      </c>
    </row>
    <row r="288" spans="1:12" x14ac:dyDescent="0.25">
      <c r="A288">
        <v>2021</v>
      </c>
      <c r="B288">
        <v>4</v>
      </c>
      <c r="C288" t="s">
        <v>28</v>
      </c>
      <c r="D288" t="s">
        <v>47</v>
      </c>
      <c r="E288" s="1">
        <v>121943.59819999999</v>
      </c>
      <c r="F288" s="1">
        <v>0</v>
      </c>
      <c r="G288" s="1">
        <v>43333.333330000001</v>
      </c>
      <c r="H288" s="1">
        <v>78610.264880000002</v>
      </c>
      <c r="I288" s="1">
        <v>121943.59819999999</v>
      </c>
      <c r="J288" s="1">
        <v>457.95590970000001</v>
      </c>
      <c r="K288" s="1">
        <v>121485.64230000001</v>
      </c>
      <c r="L288" s="1">
        <v>0</v>
      </c>
    </row>
    <row r="289" spans="1:12" x14ac:dyDescent="0.25">
      <c r="A289">
        <v>2021</v>
      </c>
      <c r="B289">
        <v>5</v>
      </c>
      <c r="C289" t="s">
        <v>29</v>
      </c>
      <c r="D289" t="s">
        <v>47</v>
      </c>
      <c r="E289" s="1">
        <v>114332.7261</v>
      </c>
      <c r="F289" s="1">
        <v>0</v>
      </c>
      <c r="G289" s="1">
        <v>43333.333330000001</v>
      </c>
      <c r="H289" s="1">
        <v>70999.392720000003</v>
      </c>
      <c r="I289" s="1">
        <v>114332.7261</v>
      </c>
      <c r="J289" s="1">
        <v>295.34862229999999</v>
      </c>
      <c r="K289" s="1">
        <v>114037.3774</v>
      </c>
      <c r="L289" s="1">
        <v>0</v>
      </c>
    </row>
    <row r="290" spans="1:12" x14ac:dyDescent="0.25">
      <c r="A290">
        <v>2021</v>
      </c>
      <c r="B290">
        <v>6</v>
      </c>
      <c r="C290" t="s">
        <v>30</v>
      </c>
      <c r="D290" t="s">
        <v>47</v>
      </c>
      <c r="E290" s="1">
        <v>119948.5871</v>
      </c>
      <c r="F290" s="1">
        <v>0</v>
      </c>
      <c r="G290" s="1">
        <v>43333.333330000001</v>
      </c>
      <c r="H290" s="1">
        <v>76615.253779999999</v>
      </c>
      <c r="I290" s="1">
        <v>119948.5871</v>
      </c>
      <c r="J290" s="1">
        <v>315.3063861</v>
      </c>
      <c r="K290" s="1">
        <v>119633.2807</v>
      </c>
      <c r="L290" s="1">
        <v>0</v>
      </c>
    </row>
    <row r="291" spans="1:12" x14ac:dyDescent="0.25">
      <c r="A291">
        <v>2021</v>
      </c>
      <c r="B291">
        <v>7</v>
      </c>
      <c r="C291" t="s">
        <v>31</v>
      </c>
      <c r="D291" t="s">
        <v>47</v>
      </c>
      <c r="E291" s="1">
        <v>107270.7778</v>
      </c>
      <c r="F291" s="1">
        <v>0</v>
      </c>
      <c r="G291" s="1">
        <v>43333.333330000001</v>
      </c>
      <c r="H291" s="1">
        <v>63937.444439999999</v>
      </c>
      <c r="I291" s="1">
        <v>107270.7778</v>
      </c>
      <c r="J291" s="1">
        <v>399.80510679999998</v>
      </c>
      <c r="K291" s="1">
        <v>106870.9727</v>
      </c>
      <c r="L291" s="1">
        <v>0</v>
      </c>
    </row>
    <row r="292" spans="1:12" x14ac:dyDescent="0.25">
      <c r="A292">
        <v>2021</v>
      </c>
      <c r="B292">
        <v>8</v>
      </c>
      <c r="C292" t="s">
        <v>32</v>
      </c>
      <c r="D292" t="s">
        <v>47</v>
      </c>
      <c r="E292" s="1">
        <v>109771.1422</v>
      </c>
      <c r="F292" s="1">
        <v>0</v>
      </c>
      <c r="G292" s="1">
        <v>43333.333330000001</v>
      </c>
      <c r="H292" s="1">
        <v>66437.808869999993</v>
      </c>
      <c r="I292" s="1">
        <v>109771.1422</v>
      </c>
      <c r="J292" s="1">
        <v>464.98718580000002</v>
      </c>
      <c r="K292" s="1">
        <v>109306.155</v>
      </c>
      <c r="L292" s="1">
        <v>0</v>
      </c>
    </row>
    <row r="293" spans="1:12" x14ac:dyDescent="0.25">
      <c r="A293">
        <v>2021</v>
      </c>
      <c r="B293">
        <v>9</v>
      </c>
      <c r="C293" t="s">
        <v>33</v>
      </c>
      <c r="D293" t="s">
        <v>47</v>
      </c>
      <c r="E293" s="1">
        <v>115160.2847</v>
      </c>
      <c r="F293" s="1">
        <v>0</v>
      </c>
      <c r="G293" s="1">
        <v>43333.333330000001</v>
      </c>
      <c r="H293" s="1">
        <v>71826.951360000006</v>
      </c>
      <c r="I293" s="1">
        <v>115160.2847</v>
      </c>
      <c r="J293" s="1">
        <v>721.11274449999996</v>
      </c>
      <c r="K293" s="1">
        <v>114439.1719</v>
      </c>
      <c r="L293" s="1">
        <v>0</v>
      </c>
    </row>
    <row r="294" spans="1:12" x14ac:dyDescent="0.25">
      <c r="A294">
        <v>2021</v>
      </c>
      <c r="B294">
        <v>10</v>
      </c>
      <c r="C294" t="s">
        <v>22</v>
      </c>
      <c r="D294" t="s">
        <v>47</v>
      </c>
      <c r="E294" s="1">
        <v>103413.32670000001</v>
      </c>
      <c r="F294" s="1">
        <v>0</v>
      </c>
      <c r="G294" s="1">
        <v>43333.333330000001</v>
      </c>
      <c r="H294" s="1">
        <v>60079.993320000001</v>
      </c>
      <c r="I294" s="1">
        <v>103413.32670000001</v>
      </c>
      <c r="J294" s="1">
        <v>277.54538250000002</v>
      </c>
      <c r="K294" s="1">
        <v>103135.7813</v>
      </c>
      <c r="L294" s="1">
        <v>0</v>
      </c>
    </row>
    <row r="295" spans="1:12" x14ac:dyDescent="0.25">
      <c r="A295">
        <v>2021</v>
      </c>
      <c r="B295">
        <v>11</v>
      </c>
      <c r="C295" t="s">
        <v>23</v>
      </c>
      <c r="D295" t="s">
        <v>47</v>
      </c>
      <c r="E295" s="1">
        <v>98016.557090000002</v>
      </c>
      <c r="F295" s="1">
        <v>0</v>
      </c>
      <c r="G295" s="1">
        <v>43333.333330000001</v>
      </c>
      <c r="H295" s="1">
        <v>54683.223760000001</v>
      </c>
      <c r="I295" s="1">
        <v>98016.557090000002</v>
      </c>
      <c r="J295" s="1">
        <v>355.83502850000002</v>
      </c>
      <c r="K295" s="1">
        <v>97660.722070000003</v>
      </c>
      <c r="L295" s="1">
        <v>0</v>
      </c>
    </row>
    <row r="296" spans="1:12" x14ac:dyDescent="0.25">
      <c r="A296">
        <v>2021</v>
      </c>
      <c r="B296">
        <v>12</v>
      </c>
      <c r="C296" t="s">
        <v>24</v>
      </c>
      <c r="D296" t="s">
        <v>47</v>
      </c>
      <c r="E296" s="1">
        <v>121384.1409</v>
      </c>
      <c r="F296" s="1">
        <v>0</v>
      </c>
      <c r="G296" s="1">
        <v>43333.333330000001</v>
      </c>
      <c r="H296" s="1">
        <v>78050.807539999994</v>
      </c>
      <c r="I296" s="1">
        <v>121384.1409</v>
      </c>
      <c r="J296" s="1">
        <v>388.5364093</v>
      </c>
      <c r="K296" s="1">
        <v>120995.6045</v>
      </c>
      <c r="L296" s="1">
        <v>0</v>
      </c>
    </row>
    <row r="297" spans="1:12" x14ac:dyDescent="0.25">
      <c r="A297">
        <v>2022</v>
      </c>
      <c r="B297">
        <v>1</v>
      </c>
      <c r="C297" t="s">
        <v>25</v>
      </c>
      <c r="D297" t="s">
        <v>47</v>
      </c>
      <c r="E297" s="1">
        <v>101136.7268</v>
      </c>
      <c r="F297" s="1">
        <v>0</v>
      </c>
      <c r="G297" s="1">
        <v>43333.333330000001</v>
      </c>
      <c r="H297" s="1">
        <v>57803.393429999996</v>
      </c>
      <c r="I297" s="1">
        <v>101136.7268</v>
      </c>
      <c r="J297" s="1">
        <v>201.03444500000001</v>
      </c>
      <c r="K297" s="1">
        <v>100935.6923</v>
      </c>
      <c r="L297" s="1">
        <v>0</v>
      </c>
    </row>
    <row r="298" spans="1:12" x14ac:dyDescent="0.25">
      <c r="A298">
        <v>2022</v>
      </c>
      <c r="B298">
        <v>2</v>
      </c>
      <c r="C298" t="s">
        <v>26</v>
      </c>
      <c r="D298" t="s">
        <v>47</v>
      </c>
      <c r="E298" s="1">
        <v>93828.028200000001</v>
      </c>
      <c r="F298" s="1">
        <v>0</v>
      </c>
      <c r="G298" s="1">
        <v>43333.333330000001</v>
      </c>
      <c r="H298" s="1">
        <v>50494.694869999999</v>
      </c>
      <c r="I298" s="1">
        <v>93828.028200000001</v>
      </c>
      <c r="J298" s="1">
        <v>234.10635379999999</v>
      </c>
      <c r="K298" s="1">
        <v>93593.921849999999</v>
      </c>
      <c r="L298" s="1">
        <v>0</v>
      </c>
    </row>
    <row r="299" spans="1:12" x14ac:dyDescent="0.25">
      <c r="A299">
        <v>2022</v>
      </c>
      <c r="B299">
        <v>3</v>
      </c>
      <c r="C299" t="s">
        <v>27</v>
      </c>
      <c r="D299" t="s">
        <v>47</v>
      </c>
      <c r="E299" s="1">
        <v>103237.79730000001</v>
      </c>
      <c r="F299" s="1">
        <v>0</v>
      </c>
      <c r="G299" s="1">
        <v>43333.333330000001</v>
      </c>
      <c r="H299" s="1">
        <v>59904.463949999998</v>
      </c>
      <c r="I299" s="1">
        <v>103237.79730000001</v>
      </c>
      <c r="J299" s="1">
        <v>262.54839179999999</v>
      </c>
      <c r="K299" s="1">
        <v>102975.24890000001</v>
      </c>
      <c r="L299" s="1">
        <v>0</v>
      </c>
    </row>
    <row r="300" spans="1:12" x14ac:dyDescent="0.25">
      <c r="A300">
        <v>2022</v>
      </c>
      <c r="B300">
        <v>4</v>
      </c>
      <c r="C300" t="s">
        <v>28</v>
      </c>
      <c r="D300" t="s">
        <v>47</v>
      </c>
      <c r="E300" s="1">
        <v>106932.6946</v>
      </c>
      <c r="F300" s="1">
        <v>0</v>
      </c>
      <c r="G300" s="1">
        <v>43333.333330000001</v>
      </c>
      <c r="H300" s="1">
        <v>63599.36131</v>
      </c>
      <c r="I300" s="1">
        <v>106932.6946</v>
      </c>
      <c r="J300" s="1">
        <v>409.26985719999999</v>
      </c>
      <c r="K300" s="1">
        <v>106523.42479999999</v>
      </c>
      <c r="L300" s="1">
        <v>0</v>
      </c>
    </row>
    <row r="301" spans="1:12" x14ac:dyDescent="0.25">
      <c r="A301">
        <v>2022</v>
      </c>
      <c r="B301">
        <v>5</v>
      </c>
      <c r="C301" t="s">
        <v>29</v>
      </c>
      <c r="D301" t="s">
        <v>47</v>
      </c>
      <c r="E301" s="1">
        <v>112050.6583</v>
      </c>
      <c r="F301" s="1">
        <v>0</v>
      </c>
      <c r="G301" s="1">
        <v>43333.333330000001</v>
      </c>
      <c r="H301" s="1">
        <v>68717.324930000002</v>
      </c>
      <c r="I301" s="1">
        <v>112050.6583</v>
      </c>
      <c r="J301" s="1">
        <v>587.11015540000005</v>
      </c>
      <c r="K301" s="1">
        <v>111463.5481</v>
      </c>
      <c r="L301" s="1">
        <v>0</v>
      </c>
    </row>
    <row r="302" spans="1:12" x14ac:dyDescent="0.25">
      <c r="A302">
        <v>2022</v>
      </c>
      <c r="B302">
        <v>6</v>
      </c>
      <c r="C302" t="s">
        <v>30</v>
      </c>
      <c r="D302" t="s">
        <v>47</v>
      </c>
      <c r="E302" s="1">
        <v>128771.6532</v>
      </c>
      <c r="F302" s="1">
        <v>0</v>
      </c>
      <c r="G302" s="1">
        <v>43333.333330000001</v>
      </c>
      <c r="H302" s="1">
        <v>85438.319870000007</v>
      </c>
      <c r="I302" s="1">
        <v>128771.6532</v>
      </c>
      <c r="J302" s="1">
        <v>481.91676630000001</v>
      </c>
      <c r="K302" s="1">
        <v>128289.73639999999</v>
      </c>
      <c r="L302" s="1">
        <v>0</v>
      </c>
    </row>
    <row r="303" spans="1:12" x14ac:dyDescent="0.25">
      <c r="A303">
        <v>2022</v>
      </c>
      <c r="B303">
        <v>7</v>
      </c>
      <c r="C303" t="s">
        <v>31</v>
      </c>
      <c r="D303" t="s">
        <v>47</v>
      </c>
      <c r="E303" s="1">
        <v>112019.236</v>
      </c>
      <c r="F303" s="1">
        <v>0</v>
      </c>
      <c r="G303" s="1">
        <v>43333.333330000001</v>
      </c>
      <c r="H303" s="1">
        <v>68685.902690000003</v>
      </c>
      <c r="I303" s="1">
        <v>112019.236</v>
      </c>
      <c r="J303" s="1">
        <v>569.08254999999997</v>
      </c>
      <c r="K303" s="1">
        <v>111450.1535</v>
      </c>
      <c r="L303" s="1">
        <v>0</v>
      </c>
    </row>
    <row r="304" spans="1:12" x14ac:dyDescent="0.25">
      <c r="A304">
        <v>2022</v>
      </c>
      <c r="B304">
        <v>8</v>
      </c>
      <c r="C304" t="s">
        <v>32</v>
      </c>
      <c r="D304" t="s">
        <v>47</v>
      </c>
      <c r="E304" s="1">
        <v>107036.6232</v>
      </c>
      <c r="F304" s="1">
        <v>0</v>
      </c>
      <c r="G304" s="1">
        <v>43333.333330000001</v>
      </c>
      <c r="H304" s="1">
        <v>63703.289920000003</v>
      </c>
      <c r="I304" s="1">
        <v>107036.6232</v>
      </c>
      <c r="J304" s="1">
        <v>479.0028696</v>
      </c>
      <c r="K304" s="1">
        <v>106557.6204</v>
      </c>
      <c r="L304" s="1">
        <v>0</v>
      </c>
    </row>
    <row r="305" spans="1:12" x14ac:dyDescent="0.25">
      <c r="A305">
        <v>2022</v>
      </c>
      <c r="B305">
        <v>9</v>
      </c>
      <c r="C305" t="s">
        <v>33</v>
      </c>
      <c r="D305" t="s">
        <v>47</v>
      </c>
      <c r="E305" s="1">
        <v>107588.7904</v>
      </c>
      <c r="F305" s="1">
        <v>0</v>
      </c>
      <c r="G305" s="1">
        <v>43333.333330000001</v>
      </c>
      <c r="H305" s="1">
        <v>64255.457029999998</v>
      </c>
      <c r="I305" s="1">
        <v>107588.7904</v>
      </c>
      <c r="J305" s="1">
        <v>166.9255331</v>
      </c>
      <c r="K305" s="1">
        <v>107421.8648</v>
      </c>
      <c r="L305" s="1">
        <v>0</v>
      </c>
    </row>
    <row r="306" spans="1:12" x14ac:dyDescent="0.25">
      <c r="A306">
        <v>2022</v>
      </c>
      <c r="B306">
        <v>10</v>
      </c>
      <c r="C306" t="s">
        <v>22</v>
      </c>
      <c r="D306" t="s">
        <v>47</v>
      </c>
      <c r="E306" s="1">
        <v>122569.9944</v>
      </c>
      <c r="F306" s="1">
        <v>0</v>
      </c>
      <c r="G306" s="1">
        <v>43333.333330000001</v>
      </c>
      <c r="H306" s="1">
        <v>79236.661049999995</v>
      </c>
      <c r="I306" s="1">
        <v>122569.9944</v>
      </c>
      <c r="J306" s="1">
        <v>153.0043392</v>
      </c>
      <c r="K306" s="1">
        <v>122416.99</v>
      </c>
      <c r="L306" s="1">
        <v>0</v>
      </c>
    </row>
    <row r="307" spans="1:12" x14ac:dyDescent="0.25">
      <c r="A307">
        <v>2022</v>
      </c>
      <c r="B307">
        <v>11</v>
      </c>
      <c r="C307" t="s">
        <v>23</v>
      </c>
      <c r="D307" t="s">
        <v>47</v>
      </c>
      <c r="E307" s="1">
        <v>113129.3172</v>
      </c>
      <c r="F307" s="1">
        <v>0</v>
      </c>
      <c r="G307" s="1">
        <v>43333.333330000001</v>
      </c>
      <c r="H307" s="1">
        <v>69795.983869999996</v>
      </c>
      <c r="I307" s="1">
        <v>113129.3172</v>
      </c>
      <c r="J307" s="1">
        <v>255.4004204</v>
      </c>
      <c r="K307" s="1">
        <v>112873.91680000001</v>
      </c>
      <c r="L307" s="1">
        <v>0</v>
      </c>
    </row>
    <row r="308" spans="1:12" x14ac:dyDescent="0.25">
      <c r="A308">
        <v>2022</v>
      </c>
      <c r="B308">
        <v>12</v>
      </c>
      <c r="C308" t="s">
        <v>24</v>
      </c>
      <c r="D308" t="s">
        <v>47</v>
      </c>
      <c r="E308" s="1">
        <v>110302.16989999999</v>
      </c>
      <c r="F308" s="1">
        <v>0</v>
      </c>
      <c r="G308" s="1">
        <v>43333.333330000001</v>
      </c>
      <c r="H308" s="1">
        <v>66968.836550000007</v>
      </c>
      <c r="I308" s="1">
        <v>110302.16989999999</v>
      </c>
      <c r="J308" s="1">
        <v>251.9201956</v>
      </c>
      <c r="K308" s="1">
        <v>110050.2497</v>
      </c>
      <c r="L308" s="1">
        <v>0</v>
      </c>
    </row>
    <row r="309" spans="1:12" x14ac:dyDescent="0.25">
      <c r="A309">
        <v>2023</v>
      </c>
      <c r="B309">
        <v>1</v>
      </c>
      <c r="C309" t="s">
        <v>25</v>
      </c>
      <c r="D309" t="s">
        <v>47</v>
      </c>
      <c r="E309" s="1">
        <v>110587.2123</v>
      </c>
      <c r="F309" s="1">
        <v>0</v>
      </c>
      <c r="G309" s="1">
        <v>43333.333330000001</v>
      </c>
      <c r="H309" s="1">
        <v>67253.879000000001</v>
      </c>
      <c r="I309" s="1">
        <v>110587.2123</v>
      </c>
      <c r="J309" s="1">
        <v>211.03416999999999</v>
      </c>
      <c r="K309" s="1">
        <v>110376.17819999999</v>
      </c>
      <c r="L309" s="1">
        <v>0</v>
      </c>
    </row>
    <row r="310" spans="1:12" x14ac:dyDescent="0.25">
      <c r="A310">
        <v>2023</v>
      </c>
      <c r="B310">
        <v>2</v>
      </c>
      <c r="C310" t="s">
        <v>26</v>
      </c>
      <c r="D310" t="s">
        <v>47</v>
      </c>
      <c r="E310" s="1">
        <v>103799.8596</v>
      </c>
      <c r="F310" s="1">
        <v>0</v>
      </c>
      <c r="G310" s="1">
        <v>43333.333330000001</v>
      </c>
      <c r="H310" s="1">
        <v>60466.526230000003</v>
      </c>
      <c r="I310" s="1">
        <v>103799.8596</v>
      </c>
      <c r="J310" s="1">
        <v>258.47211679999998</v>
      </c>
      <c r="K310" s="1">
        <v>103541.38740000001</v>
      </c>
      <c r="L310" s="1">
        <v>0</v>
      </c>
    </row>
    <row r="311" spans="1:12" x14ac:dyDescent="0.25">
      <c r="A311">
        <v>2023</v>
      </c>
      <c r="B311">
        <v>3</v>
      </c>
      <c r="C311" t="s">
        <v>27</v>
      </c>
      <c r="D311" t="s">
        <v>47</v>
      </c>
      <c r="E311" s="1">
        <v>113053.2962</v>
      </c>
      <c r="F311" s="1">
        <v>0</v>
      </c>
      <c r="G311" s="1">
        <v>43333.333330000001</v>
      </c>
      <c r="H311" s="1">
        <v>69719.962830000004</v>
      </c>
      <c r="I311" s="1">
        <v>113053.2962</v>
      </c>
      <c r="J311" s="1">
        <v>236.74350240000001</v>
      </c>
      <c r="K311" s="1">
        <v>112816.5527</v>
      </c>
      <c r="L311" s="1">
        <v>0</v>
      </c>
    </row>
    <row r="312" spans="1:12" x14ac:dyDescent="0.25">
      <c r="A312">
        <v>2023</v>
      </c>
      <c r="B312">
        <v>4</v>
      </c>
      <c r="C312" t="s">
        <v>28</v>
      </c>
      <c r="D312" t="s">
        <v>47</v>
      </c>
      <c r="E312" s="1">
        <v>115467.2478</v>
      </c>
      <c r="F312" s="1">
        <v>0</v>
      </c>
      <c r="G312" s="1">
        <v>43333.333330000001</v>
      </c>
      <c r="H312" s="1">
        <v>72133.914449999997</v>
      </c>
      <c r="I312" s="1">
        <v>115467.2478</v>
      </c>
      <c r="J312" s="1">
        <v>302.57849859999999</v>
      </c>
      <c r="K312" s="1">
        <v>115164.66929999999</v>
      </c>
      <c r="L312" s="1">
        <v>0</v>
      </c>
    </row>
    <row r="313" spans="1:12" x14ac:dyDescent="0.25">
      <c r="A313">
        <v>2023</v>
      </c>
      <c r="B313">
        <v>5</v>
      </c>
      <c r="C313" t="s">
        <v>29</v>
      </c>
      <c r="D313" t="s">
        <v>47</v>
      </c>
      <c r="E313" s="1">
        <v>118484.3055</v>
      </c>
      <c r="F313" s="1">
        <v>0</v>
      </c>
      <c r="G313" s="1">
        <v>43333.333330000001</v>
      </c>
      <c r="H313" s="1">
        <v>75150.972150000001</v>
      </c>
      <c r="I313" s="1">
        <v>118484.3055</v>
      </c>
      <c r="J313" s="1">
        <v>287.17726979999998</v>
      </c>
      <c r="K313" s="1">
        <v>118197.12820000001</v>
      </c>
      <c r="L313" s="1">
        <v>0</v>
      </c>
    </row>
    <row r="314" spans="1:12" x14ac:dyDescent="0.25">
      <c r="A314">
        <v>2023</v>
      </c>
      <c r="B314">
        <v>6</v>
      </c>
      <c r="C314" t="s">
        <v>30</v>
      </c>
      <c r="D314" t="s">
        <v>47</v>
      </c>
      <c r="E314" s="1">
        <v>119933.4457</v>
      </c>
      <c r="F314" s="1">
        <v>0</v>
      </c>
      <c r="G314" s="1">
        <v>43333.333330000001</v>
      </c>
      <c r="H314" s="1">
        <v>76600.112359999999</v>
      </c>
      <c r="I314" s="1">
        <v>119933.4457</v>
      </c>
      <c r="J314" s="1">
        <v>341.0006166</v>
      </c>
      <c r="K314" s="1">
        <v>119592.4451</v>
      </c>
      <c r="L314" s="1">
        <v>0</v>
      </c>
    </row>
    <row r="315" spans="1:12" x14ac:dyDescent="0.25">
      <c r="A315">
        <v>2023</v>
      </c>
      <c r="B315">
        <v>7</v>
      </c>
      <c r="C315" t="s">
        <v>31</v>
      </c>
      <c r="D315" t="s">
        <v>47</v>
      </c>
      <c r="E315" s="1">
        <v>131161.58100000001</v>
      </c>
      <c r="F315" s="1">
        <v>0</v>
      </c>
      <c r="G315" s="1">
        <v>43333.333330000001</v>
      </c>
      <c r="H315" s="1">
        <v>87828.247619999995</v>
      </c>
      <c r="I315" s="1">
        <v>131161.58100000001</v>
      </c>
      <c r="J315" s="1">
        <v>252.44792409999999</v>
      </c>
      <c r="K315" s="1">
        <v>130909.133</v>
      </c>
      <c r="L315" s="1">
        <v>0</v>
      </c>
    </row>
    <row r="316" spans="1:12" x14ac:dyDescent="0.25">
      <c r="A316">
        <v>2023</v>
      </c>
      <c r="B316">
        <v>8</v>
      </c>
      <c r="C316" t="s">
        <v>32</v>
      </c>
      <c r="D316" t="s">
        <v>47</v>
      </c>
      <c r="E316" s="1">
        <v>126065.40640000001</v>
      </c>
      <c r="F316" s="1">
        <v>0</v>
      </c>
      <c r="G316" s="1">
        <v>43333.333330000001</v>
      </c>
      <c r="H316" s="1">
        <v>82732.073099999994</v>
      </c>
      <c r="I316" s="1">
        <v>126065.40640000001</v>
      </c>
      <c r="J316" s="1">
        <v>327.08989630000002</v>
      </c>
      <c r="K316" s="1">
        <v>125738.3165</v>
      </c>
      <c r="L316" s="1">
        <v>0</v>
      </c>
    </row>
    <row r="317" spans="1:12" x14ac:dyDescent="0.25">
      <c r="A317">
        <v>2023</v>
      </c>
      <c r="B317">
        <v>9</v>
      </c>
      <c r="C317" t="s">
        <v>33</v>
      </c>
      <c r="D317" t="s">
        <v>47</v>
      </c>
      <c r="E317" s="1">
        <v>110964.1719</v>
      </c>
      <c r="F317" s="1">
        <v>0</v>
      </c>
      <c r="G317" s="1">
        <v>43333.333330000001</v>
      </c>
      <c r="H317" s="1">
        <v>67630.838539999997</v>
      </c>
      <c r="I317" s="1">
        <v>110964.1719</v>
      </c>
      <c r="J317" s="1">
        <v>158.82940110000001</v>
      </c>
      <c r="K317" s="1">
        <v>110805.3425</v>
      </c>
      <c r="L317" s="1">
        <v>0</v>
      </c>
    </row>
    <row r="318" spans="1:12" x14ac:dyDescent="0.25">
      <c r="A318">
        <v>2023</v>
      </c>
      <c r="B318">
        <v>10</v>
      </c>
      <c r="C318" t="s">
        <v>22</v>
      </c>
      <c r="D318" t="s">
        <v>47</v>
      </c>
      <c r="E318" s="1">
        <v>133169.67540000001</v>
      </c>
      <c r="F318" s="1">
        <v>0</v>
      </c>
      <c r="G318" s="1">
        <v>43333.333330000001</v>
      </c>
      <c r="H318" s="1">
        <v>89836.342069999999</v>
      </c>
      <c r="I318" s="1">
        <v>133169.67540000001</v>
      </c>
      <c r="J318" s="1">
        <v>223.90591599999999</v>
      </c>
      <c r="K318" s="1">
        <v>132945.76949999999</v>
      </c>
      <c r="L318" s="1">
        <v>0</v>
      </c>
    </row>
    <row r="319" spans="1:12" x14ac:dyDescent="0.25">
      <c r="A319">
        <v>2023</v>
      </c>
      <c r="B319">
        <v>11</v>
      </c>
      <c r="C319" t="s">
        <v>23</v>
      </c>
      <c r="D319" t="s">
        <v>47</v>
      </c>
      <c r="E319" s="1">
        <v>115388.5169</v>
      </c>
      <c r="F319" s="1">
        <v>0</v>
      </c>
      <c r="G319" s="1">
        <v>43333.333330000001</v>
      </c>
      <c r="H319" s="1">
        <v>72055.183550000002</v>
      </c>
      <c r="I319" s="1">
        <v>115388.5169</v>
      </c>
      <c r="J319" s="1">
        <v>223.89720399999999</v>
      </c>
      <c r="K319" s="1">
        <v>115164.6197</v>
      </c>
      <c r="L319" s="1">
        <v>0</v>
      </c>
    </row>
    <row r="320" spans="1:12" x14ac:dyDescent="0.25">
      <c r="A320">
        <v>2023</v>
      </c>
      <c r="B320">
        <v>12</v>
      </c>
      <c r="C320" t="s">
        <v>24</v>
      </c>
      <c r="D320" t="s">
        <v>47</v>
      </c>
      <c r="E320" s="1">
        <v>89322.032550000004</v>
      </c>
      <c r="F320" s="1">
        <v>0</v>
      </c>
      <c r="G320" s="1">
        <v>43333.333330000001</v>
      </c>
      <c r="H320" s="1">
        <v>45988.699220000002</v>
      </c>
      <c r="I320" s="1">
        <v>89322.032550000004</v>
      </c>
      <c r="J320" s="1">
        <v>223.00462709999999</v>
      </c>
      <c r="K320" s="1">
        <v>89099.027929999997</v>
      </c>
      <c r="L320" s="1">
        <v>0</v>
      </c>
    </row>
    <row r="321" spans="1:12" x14ac:dyDescent="0.25">
      <c r="A321">
        <v>2024</v>
      </c>
      <c r="B321">
        <v>1</v>
      </c>
      <c r="C321" t="s">
        <v>25</v>
      </c>
      <c r="D321" t="s">
        <v>47</v>
      </c>
      <c r="E321" s="1">
        <v>127321.25139999999</v>
      </c>
      <c r="F321" s="1">
        <v>0</v>
      </c>
      <c r="G321" s="1">
        <v>43333.333330000001</v>
      </c>
      <c r="H321" s="1">
        <v>83987.918030000001</v>
      </c>
      <c r="I321" s="1">
        <v>127321.25139999999</v>
      </c>
      <c r="J321" s="1">
        <v>202.80723860000001</v>
      </c>
      <c r="K321" s="1">
        <v>127118.44409999999</v>
      </c>
      <c r="L321" s="1">
        <v>0</v>
      </c>
    </row>
    <row r="322" spans="1:12" x14ac:dyDescent="0.25">
      <c r="A322">
        <v>2024</v>
      </c>
      <c r="B322">
        <v>2</v>
      </c>
      <c r="C322" t="s">
        <v>26</v>
      </c>
      <c r="D322" t="s">
        <v>47</v>
      </c>
      <c r="E322" s="1">
        <v>131189.36739999999</v>
      </c>
      <c r="F322" s="1">
        <v>0</v>
      </c>
      <c r="G322" s="1">
        <v>43333.333330000001</v>
      </c>
      <c r="H322" s="1">
        <v>87856.034100000004</v>
      </c>
      <c r="I322" s="1">
        <v>131189.36739999999</v>
      </c>
      <c r="J322" s="1">
        <v>232.04101439999999</v>
      </c>
      <c r="K322" s="1">
        <v>130957.32640000001</v>
      </c>
      <c r="L322" s="1">
        <v>0</v>
      </c>
    </row>
    <row r="323" spans="1:12" x14ac:dyDescent="0.25">
      <c r="A323">
        <v>2024</v>
      </c>
      <c r="B323">
        <v>3</v>
      </c>
      <c r="C323" t="s">
        <v>27</v>
      </c>
      <c r="D323" t="s">
        <v>47</v>
      </c>
      <c r="E323" s="1">
        <v>129116.2932</v>
      </c>
      <c r="F323" s="1">
        <v>0</v>
      </c>
      <c r="G323" s="1">
        <v>43333.333330000001</v>
      </c>
      <c r="H323" s="1">
        <v>85782.959870000006</v>
      </c>
      <c r="I323" s="1">
        <v>129116.2932</v>
      </c>
      <c r="J323" s="1">
        <v>181.46356460000001</v>
      </c>
      <c r="K323" s="1">
        <v>128934.8296</v>
      </c>
      <c r="L323" s="1">
        <v>0</v>
      </c>
    </row>
    <row r="324" spans="1:12" x14ac:dyDescent="0.25">
      <c r="A324">
        <v>2024</v>
      </c>
      <c r="B324">
        <v>4</v>
      </c>
      <c r="C324" t="s">
        <v>28</v>
      </c>
      <c r="D324" t="s">
        <v>47</v>
      </c>
      <c r="E324" s="1">
        <v>139110.45879999999</v>
      </c>
      <c r="F324" s="1">
        <v>0</v>
      </c>
      <c r="G324" s="1">
        <v>43333.333330000001</v>
      </c>
      <c r="H324" s="1">
        <v>95777.125499999995</v>
      </c>
      <c r="I324" s="1">
        <v>139110.45879999999</v>
      </c>
      <c r="J324" s="1">
        <v>172.94083560000001</v>
      </c>
      <c r="K324" s="1">
        <v>138937.51800000001</v>
      </c>
      <c r="L324" s="1">
        <v>0</v>
      </c>
    </row>
    <row r="325" spans="1:12" x14ac:dyDescent="0.25">
      <c r="A325">
        <v>2024</v>
      </c>
      <c r="B325">
        <v>5</v>
      </c>
      <c r="C325" t="s">
        <v>29</v>
      </c>
      <c r="D325" t="s">
        <v>47</v>
      </c>
      <c r="E325" s="1">
        <v>142137.89009999999</v>
      </c>
      <c r="F325" s="1">
        <v>0</v>
      </c>
      <c r="G325" s="1">
        <v>43333.333330000001</v>
      </c>
      <c r="H325" s="1">
        <v>98804.556750000003</v>
      </c>
      <c r="I325" s="1">
        <v>142137.89009999999</v>
      </c>
      <c r="J325" s="1">
        <v>266.7657878</v>
      </c>
      <c r="K325" s="1">
        <v>141871.1243</v>
      </c>
      <c r="L325" s="1">
        <v>0</v>
      </c>
    </row>
    <row r="326" spans="1:12" x14ac:dyDescent="0.25">
      <c r="A326">
        <v>2024</v>
      </c>
      <c r="B326">
        <v>6</v>
      </c>
      <c r="C326" t="s">
        <v>30</v>
      </c>
      <c r="D326" t="s">
        <v>47</v>
      </c>
      <c r="E326" s="1">
        <v>146017.96830000001</v>
      </c>
      <c r="F326" s="1">
        <v>0</v>
      </c>
      <c r="G326" s="1">
        <v>43333.333330000001</v>
      </c>
      <c r="H326" s="1">
        <v>102684.63499999999</v>
      </c>
      <c r="I326" s="1">
        <v>146017.96830000001</v>
      </c>
      <c r="J326" s="1">
        <v>172.7887905</v>
      </c>
      <c r="K326" s="1">
        <v>145845.1795</v>
      </c>
      <c r="L326" s="1">
        <v>0</v>
      </c>
    </row>
    <row r="327" spans="1:12" x14ac:dyDescent="0.25">
      <c r="A327">
        <v>2024</v>
      </c>
      <c r="B327">
        <v>7</v>
      </c>
      <c r="C327" t="s">
        <v>31</v>
      </c>
      <c r="D327" t="s">
        <v>47</v>
      </c>
      <c r="E327" s="1">
        <v>187205.8909</v>
      </c>
      <c r="F327" s="1">
        <v>0</v>
      </c>
      <c r="G327" s="1">
        <v>43333.333330000001</v>
      </c>
      <c r="H327" s="1">
        <v>143872.5576</v>
      </c>
      <c r="I327" s="1">
        <v>187205.8909</v>
      </c>
      <c r="J327" s="1">
        <v>255.39332820000001</v>
      </c>
      <c r="K327" s="1">
        <v>186950.4976</v>
      </c>
      <c r="L327" s="1">
        <v>0</v>
      </c>
    </row>
    <row r="328" spans="1:12" x14ac:dyDescent="0.25">
      <c r="A328">
        <v>2024</v>
      </c>
      <c r="B328">
        <v>8</v>
      </c>
      <c r="C328" t="s">
        <v>32</v>
      </c>
      <c r="D328" t="s">
        <v>47</v>
      </c>
      <c r="E328" s="1">
        <v>126051.40609999999</v>
      </c>
      <c r="F328" s="1">
        <v>0</v>
      </c>
      <c r="G328" s="1">
        <v>43333.333330000001</v>
      </c>
      <c r="H328" s="1">
        <v>82718.072750000007</v>
      </c>
      <c r="I328" s="1">
        <v>126051.40609999999</v>
      </c>
      <c r="J328" s="1">
        <v>278.21057139999999</v>
      </c>
      <c r="K328" s="1">
        <v>125773.1955</v>
      </c>
      <c r="L328" s="1">
        <v>0</v>
      </c>
    </row>
    <row r="329" spans="1:12" x14ac:dyDescent="0.25">
      <c r="A329">
        <v>2024</v>
      </c>
      <c r="B329">
        <v>9</v>
      </c>
      <c r="C329" t="s">
        <v>33</v>
      </c>
      <c r="D329" t="s">
        <v>47</v>
      </c>
      <c r="E329" s="1">
        <v>135323.59820000001</v>
      </c>
      <c r="F329" s="1">
        <v>0</v>
      </c>
      <c r="G329" s="1">
        <v>43333.333330000001</v>
      </c>
      <c r="H329" s="1">
        <v>91990.264890000006</v>
      </c>
      <c r="I329" s="1">
        <v>135323.59820000001</v>
      </c>
      <c r="J329" s="1">
        <v>250.72682</v>
      </c>
      <c r="K329" s="1">
        <v>135072.8714</v>
      </c>
      <c r="L329" s="1">
        <v>0</v>
      </c>
    </row>
    <row r="330" spans="1:12" x14ac:dyDescent="0.25">
      <c r="A330">
        <v>2024</v>
      </c>
      <c r="B330">
        <v>10</v>
      </c>
      <c r="C330" t="s">
        <v>22</v>
      </c>
      <c r="D330" t="s">
        <v>47</v>
      </c>
      <c r="E330" s="1">
        <v>129612.2433</v>
      </c>
      <c r="F330" s="1">
        <v>0</v>
      </c>
      <c r="G330" s="1">
        <v>43333.333330000001</v>
      </c>
      <c r="H330" s="1">
        <v>86278.909960000005</v>
      </c>
      <c r="I330" s="1">
        <v>129612.2433</v>
      </c>
      <c r="J330" s="1">
        <v>269.92668909999998</v>
      </c>
      <c r="K330" s="1">
        <v>129342.31660000001</v>
      </c>
      <c r="L330" s="1">
        <v>0</v>
      </c>
    </row>
    <row r="331" spans="1:12" x14ac:dyDescent="0.25">
      <c r="A331">
        <v>2024</v>
      </c>
      <c r="B331">
        <v>11</v>
      </c>
      <c r="C331" t="s">
        <v>23</v>
      </c>
      <c r="D331" t="s">
        <v>47</v>
      </c>
      <c r="E331" s="1">
        <v>120544.0836</v>
      </c>
      <c r="F331" s="1">
        <v>0</v>
      </c>
      <c r="G331" s="1">
        <v>43333.333330000001</v>
      </c>
      <c r="H331" s="1">
        <v>77210.750270000004</v>
      </c>
      <c r="I331" s="1">
        <v>120544.0836</v>
      </c>
      <c r="J331" s="1">
        <v>160.34520599999999</v>
      </c>
      <c r="K331" s="1">
        <v>120383.7384</v>
      </c>
      <c r="L331" s="1">
        <v>0</v>
      </c>
    </row>
    <row r="332" spans="1:12" x14ac:dyDescent="0.25">
      <c r="A332">
        <v>2024</v>
      </c>
      <c r="B332">
        <v>12</v>
      </c>
      <c r="C332" t="s">
        <v>24</v>
      </c>
      <c r="D332" t="s">
        <v>47</v>
      </c>
      <c r="E332" s="1">
        <v>149307.72459999999</v>
      </c>
      <c r="F332" s="1">
        <v>0</v>
      </c>
      <c r="G332" s="1">
        <v>43333.333330000001</v>
      </c>
      <c r="H332" s="1">
        <v>105974.3913</v>
      </c>
      <c r="I332" s="1">
        <v>149307.72459999999</v>
      </c>
      <c r="J332" s="1">
        <v>370.24746440000001</v>
      </c>
      <c r="K332" s="1">
        <v>148937.47719999999</v>
      </c>
      <c r="L332" s="1">
        <v>0</v>
      </c>
    </row>
    <row r="333" spans="1:12" x14ac:dyDescent="0.25">
      <c r="A333">
        <v>2025</v>
      </c>
      <c r="B333">
        <v>1</v>
      </c>
      <c r="C333" t="s">
        <v>25</v>
      </c>
      <c r="D333" t="s">
        <v>47</v>
      </c>
      <c r="E333" s="1">
        <v>110735.68399999999</v>
      </c>
      <c r="F333" s="1">
        <v>0</v>
      </c>
      <c r="G333" s="1">
        <v>43333.333330000001</v>
      </c>
      <c r="H333" s="1">
        <v>67402.350649999993</v>
      </c>
      <c r="I333" s="1">
        <v>110735.68399999999</v>
      </c>
      <c r="J333" s="1">
        <v>148.38046639999999</v>
      </c>
      <c r="K333" s="1">
        <v>110587.30349999999</v>
      </c>
      <c r="L333" s="1">
        <v>0</v>
      </c>
    </row>
    <row r="334" spans="1:12" x14ac:dyDescent="0.25">
      <c r="A334">
        <v>2025</v>
      </c>
      <c r="B334">
        <v>2</v>
      </c>
      <c r="C334" t="s">
        <v>26</v>
      </c>
      <c r="D334" t="s">
        <v>47</v>
      </c>
      <c r="E334" s="1">
        <v>131415.02410000001</v>
      </c>
      <c r="F334" s="1">
        <v>0</v>
      </c>
      <c r="G334" s="1">
        <v>43333.333330000001</v>
      </c>
      <c r="H334" s="1">
        <v>88081.690759999998</v>
      </c>
      <c r="I334" s="1">
        <v>131415.02410000001</v>
      </c>
      <c r="J334" s="1">
        <v>250.3542242</v>
      </c>
      <c r="K334" s="1">
        <v>131164.66990000001</v>
      </c>
      <c r="L334" s="1">
        <v>0</v>
      </c>
    </row>
    <row r="335" spans="1:12" x14ac:dyDescent="0.25">
      <c r="A335">
        <v>2025</v>
      </c>
      <c r="B335">
        <v>3</v>
      </c>
      <c r="C335" t="s">
        <v>27</v>
      </c>
      <c r="D335" t="s">
        <v>47</v>
      </c>
      <c r="E335" s="1">
        <v>152812.133</v>
      </c>
      <c r="F335" s="1">
        <v>0</v>
      </c>
      <c r="G335" s="1">
        <v>43333.333330000001</v>
      </c>
      <c r="H335" s="1">
        <v>109478.7997</v>
      </c>
      <c r="I335" s="1">
        <v>152812.133</v>
      </c>
      <c r="J335" s="1">
        <v>113.39948800000001</v>
      </c>
      <c r="K335" s="1">
        <v>152698.7335</v>
      </c>
      <c r="L335" s="1">
        <v>0</v>
      </c>
    </row>
    <row r="336" spans="1:12" x14ac:dyDescent="0.25">
      <c r="A336">
        <v>2025</v>
      </c>
      <c r="B336">
        <v>4</v>
      </c>
      <c r="C336" t="s">
        <v>28</v>
      </c>
      <c r="D336" t="s">
        <v>47</v>
      </c>
      <c r="E336" s="1">
        <v>181085.76939999999</v>
      </c>
      <c r="F336" s="1">
        <v>0</v>
      </c>
      <c r="G336" s="1">
        <v>43333.333330000001</v>
      </c>
      <c r="H336" s="1">
        <v>137752.43609999999</v>
      </c>
      <c r="I336" s="1">
        <v>181085.76939999999</v>
      </c>
      <c r="J336" s="1">
        <v>199.9615924</v>
      </c>
      <c r="K336" s="1">
        <v>180885.80790000001</v>
      </c>
      <c r="L336" s="1">
        <v>0</v>
      </c>
    </row>
    <row r="337" spans="1:12" x14ac:dyDescent="0.25">
      <c r="A337">
        <v>2025</v>
      </c>
      <c r="B337">
        <v>5</v>
      </c>
      <c r="C337" t="s">
        <v>29</v>
      </c>
      <c r="D337" t="s">
        <v>47</v>
      </c>
      <c r="E337" s="1">
        <v>132418.5888</v>
      </c>
      <c r="F337" s="1">
        <v>0</v>
      </c>
      <c r="G337" s="1">
        <v>43333.333330000001</v>
      </c>
      <c r="H337" s="1">
        <v>89085.255480000007</v>
      </c>
      <c r="I337" s="1">
        <v>132418.5888</v>
      </c>
      <c r="J337" s="1">
        <v>227.09598819999999</v>
      </c>
      <c r="K337" s="1">
        <v>132191.49280000001</v>
      </c>
      <c r="L337" s="1">
        <v>0</v>
      </c>
    </row>
    <row r="338" spans="1:12" x14ac:dyDescent="0.25">
      <c r="A338">
        <v>2025</v>
      </c>
      <c r="B338">
        <v>6</v>
      </c>
      <c r="C338" t="s">
        <v>30</v>
      </c>
      <c r="D338" t="s">
        <v>47</v>
      </c>
      <c r="E338" s="1">
        <v>139716.91870000001</v>
      </c>
      <c r="F338" s="1">
        <v>0</v>
      </c>
      <c r="G338" s="1">
        <v>43333.333330000001</v>
      </c>
      <c r="H338" s="1">
        <v>96383.585380000004</v>
      </c>
      <c r="I338" s="1">
        <v>139716.91870000001</v>
      </c>
      <c r="J338" s="1">
        <v>1597.396334</v>
      </c>
      <c r="K338" s="1">
        <v>138119.52239999999</v>
      </c>
      <c r="L338" s="1">
        <v>0</v>
      </c>
    </row>
    <row r="339" spans="1:12" x14ac:dyDescent="0.25">
      <c r="A339">
        <v>2025</v>
      </c>
      <c r="B339">
        <v>7</v>
      </c>
      <c r="C339" t="s">
        <v>31</v>
      </c>
      <c r="D339" t="s">
        <v>47</v>
      </c>
      <c r="E339" s="1">
        <v>129690.595</v>
      </c>
      <c r="F339" s="1">
        <v>0</v>
      </c>
      <c r="G339" s="1">
        <v>43333.333330000001</v>
      </c>
      <c r="H339" s="1">
        <v>86357.26165</v>
      </c>
      <c r="I339" s="1">
        <v>129690.595</v>
      </c>
      <c r="J339" s="1">
        <v>373.34586330000002</v>
      </c>
      <c r="K339" s="1">
        <v>129317.2491</v>
      </c>
      <c r="L339" s="1">
        <v>0</v>
      </c>
    </row>
    <row r="340" spans="1:12" x14ac:dyDescent="0.25">
      <c r="A340">
        <v>2025</v>
      </c>
      <c r="B340">
        <v>8</v>
      </c>
      <c r="C340" t="s">
        <v>32</v>
      </c>
      <c r="D340" t="s">
        <v>47</v>
      </c>
      <c r="E340" s="1">
        <v>131534.85070000001</v>
      </c>
      <c r="F340" s="1">
        <v>0</v>
      </c>
      <c r="G340" s="1">
        <v>43333.333330000001</v>
      </c>
      <c r="H340" s="1">
        <v>88201.517380000005</v>
      </c>
      <c r="I340" s="1">
        <v>131534.85070000001</v>
      </c>
      <c r="J340" s="1">
        <v>167.56446600000001</v>
      </c>
      <c r="K340" s="1">
        <v>131367.2862</v>
      </c>
      <c r="L340" s="1">
        <v>0</v>
      </c>
    </row>
    <row r="341" spans="1:12" x14ac:dyDescent="0.25">
      <c r="A341">
        <v>2025</v>
      </c>
      <c r="B341">
        <v>9</v>
      </c>
      <c r="C341" t="s">
        <v>33</v>
      </c>
      <c r="D341" t="s">
        <v>47</v>
      </c>
      <c r="E341" s="1">
        <v>134525.21549999999</v>
      </c>
      <c r="F341" s="1">
        <v>0</v>
      </c>
      <c r="G341" s="1">
        <v>43333.333330000001</v>
      </c>
      <c r="H341" s="1">
        <v>91191.882199999993</v>
      </c>
      <c r="I341" s="1">
        <v>134525.21549999999</v>
      </c>
      <c r="J341" s="1">
        <v>143.91450839999999</v>
      </c>
      <c r="K341" s="1">
        <v>134381.30100000001</v>
      </c>
      <c r="L341" s="1">
        <v>0</v>
      </c>
    </row>
    <row r="342" spans="1:12" x14ac:dyDescent="0.25">
      <c r="A342">
        <v>2025</v>
      </c>
      <c r="B342">
        <v>10</v>
      </c>
      <c r="C342" t="s">
        <v>22</v>
      </c>
      <c r="D342" t="s">
        <v>47</v>
      </c>
      <c r="E342" s="1">
        <v>135355.14290000001</v>
      </c>
      <c r="F342" s="1">
        <v>0</v>
      </c>
      <c r="G342" s="1">
        <v>43333.333330000001</v>
      </c>
      <c r="H342" s="1">
        <v>92021.809580000001</v>
      </c>
      <c r="I342" s="1">
        <v>135355.14290000001</v>
      </c>
      <c r="J342" s="1">
        <v>442.45166719999997</v>
      </c>
      <c r="K342" s="1">
        <v>134912.6912</v>
      </c>
      <c r="L342" s="1">
        <v>0</v>
      </c>
    </row>
    <row r="343" spans="1:12" x14ac:dyDescent="0.25">
      <c r="A343">
        <v>2025</v>
      </c>
      <c r="B343">
        <v>11</v>
      </c>
      <c r="C343" t="s">
        <v>23</v>
      </c>
      <c r="D343" t="s">
        <v>47</v>
      </c>
      <c r="E343" s="1">
        <v>113570.02469999999</v>
      </c>
      <c r="F343" s="1">
        <v>0</v>
      </c>
      <c r="G343" s="1">
        <v>43333.333330000001</v>
      </c>
      <c r="H343" s="1">
        <v>70236.691399999996</v>
      </c>
      <c r="I343" s="1">
        <v>113570.02469999999</v>
      </c>
      <c r="J343" s="1">
        <v>164.88490920000001</v>
      </c>
      <c r="K343" s="1">
        <v>113405.1398</v>
      </c>
      <c r="L343" s="1">
        <v>0</v>
      </c>
    </row>
    <row r="344" spans="1:12" x14ac:dyDescent="0.25">
      <c r="A344">
        <v>2025</v>
      </c>
      <c r="B344">
        <v>12</v>
      </c>
      <c r="C344" t="s">
        <v>24</v>
      </c>
      <c r="D344" t="s">
        <v>47</v>
      </c>
      <c r="E344" s="1">
        <v>133789.25589999999</v>
      </c>
      <c r="F344" s="1">
        <v>0</v>
      </c>
      <c r="G344" s="1">
        <v>43333.333330000001</v>
      </c>
      <c r="H344" s="1">
        <v>90455.922579999999</v>
      </c>
      <c r="I344" s="1">
        <v>133789.25589999999</v>
      </c>
      <c r="J344" s="1">
        <v>301.7620134</v>
      </c>
      <c r="K344" s="1">
        <v>133487.4939</v>
      </c>
      <c r="L344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Analisis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Jafeth Hernández</dc:creator>
  <cp:lastModifiedBy>Jafeth Hernández</cp:lastModifiedBy>
  <dcterms:created xsi:type="dcterms:W3CDTF">2026-03-24T03:47:51Z</dcterms:created>
  <dcterms:modified xsi:type="dcterms:W3CDTF">2026-03-27T19:09:11Z</dcterms:modified>
</cp:coreProperties>
</file>